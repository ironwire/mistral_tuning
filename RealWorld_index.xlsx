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ohnli/Documents/thesis/finance-llm-tuning/revision/"/>
    </mc:Choice>
  </mc:AlternateContent>
  <xr:revisionPtr revIDLastSave="0" documentId="8_{9FA7E26C-A294-A846-86D9-AF374D6F2F98}" xr6:coauthVersionLast="47" xr6:coauthVersionMax="47" xr10:uidLastSave="{00000000-0000-0000-0000-000000000000}"/>
  <bookViews>
    <workbookView xWindow="0" yWindow="600" windowWidth="38400" windowHeight="19760" xr2:uid="{00000000-000D-0000-FFFF-FFFF00000000}"/>
  </bookViews>
  <sheets>
    <sheet name="样本记录表" sheetId="1" r:id="rId1"/>
    <sheet name="进度看板" sheetId="2" r:id="rId2"/>
    <sheet name="自检清单"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9" i="1" l="1"/>
  <c r="K59" i="1"/>
  <c r="C4" i="2" l="1"/>
  <c r="E4" i="2" s="1"/>
  <c r="F4" i="2" s="1"/>
  <c r="C3" i="2"/>
  <c r="M63" i="1"/>
  <c r="K63" i="1"/>
  <c r="M62" i="1"/>
  <c r="K62" i="1"/>
  <c r="M61" i="1"/>
  <c r="K61" i="1"/>
  <c r="M60" i="1"/>
  <c r="K60" i="1"/>
  <c r="M58" i="1"/>
  <c r="K58" i="1"/>
  <c r="M57" i="1"/>
  <c r="K57" i="1"/>
  <c r="M56" i="1"/>
  <c r="K56" i="1"/>
  <c r="M55" i="1"/>
  <c r="K55" i="1"/>
  <c r="M54" i="1"/>
  <c r="K54" i="1"/>
  <c r="M53" i="1"/>
  <c r="K53" i="1"/>
  <c r="M52" i="1"/>
  <c r="K52" i="1"/>
  <c r="M51" i="1"/>
  <c r="K51" i="1"/>
  <c r="M50" i="1"/>
  <c r="K50" i="1"/>
  <c r="M49" i="1"/>
  <c r="K49" i="1"/>
  <c r="M48" i="1"/>
  <c r="K48" i="1"/>
  <c r="M47" i="1"/>
  <c r="K47" i="1"/>
  <c r="M46" i="1"/>
  <c r="K46" i="1"/>
  <c r="M45" i="1"/>
  <c r="K45" i="1"/>
  <c r="M44" i="1"/>
  <c r="K44" i="1"/>
  <c r="M43" i="1"/>
  <c r="K43" i="1"/>
  <c r="M42" i="1"/>
  <c r="K42" i="1"/>
  <c r="M41" i="1"/>
  <c r="K41" i="1"/>
  <c r="M40" i="1"/>
  <c r="K40" i="1"/>
  <c r="M39" i="1"/>
  <c r="K39" i="1"/>
  <c r="M38" i="1"/>
  <c r="K38" i="1"/>
  <c r="M37" i="1"/>
  <c r="K37" i="1"/>
  <c r="M36" i="1"/>
  <c r="K36" i="1"/>
  <c r="M35" i="1"/>
  <c r="K35" i="1"/>
  <c r="M34" i="1"/>
  <c r="K34" i="1"/>
  <c r="M33" i="1"/>
  <c r="K33" i="1"/>
  <c r="M32" i="1"/>
  <c r="K32" i="1"/>
  <c r="M31" i="1"/>
  <c r="K31" i="1"/>
  <c r="M30" i="1"/>
  <c r="K30" i="1"/>
  <c r="M29" i="1"/>
  <c r="K29" i="1"/>
  <c r="M28" i="1"/>
  <c r="K28" i="1"/>
  <c r="M27" i="1"/>
  <c r="K27" i="1"/>
  <c r="M26" i="1"/>
  <c r="K26" i="1"/>
  <c r="M25" i="1"/>
  <c r="K25" i="1"/>
  <c r="M24" i="1"/>
  <c r="K24" i="1"/>
  <c r="M23" i="1"/>
  <c r="K23" i="1"/>
  <c r="M22" i="1"/>
  <c r="K22" i="1"/>
  <c r="M21" i="1"/>
  <c r="K21" i="1"/>
  <c r="M20" i="1"/>
  <c r="K20" i="1"/>
  <c r="M19" i="1"/>
  <c r="K19" i="1"/>
  <c r="M18" i="1"/>
  <c r="K18" i="1"/>
  <c r="M17" i="1"/>
  <c r="K17" i="1"/>
  <c r="M16" i="1"/>
  <c r="K16" i="1"/>
  <c r="M15" i="1"/>
  <c r="K15" i="1"/>
  <c r="M14" i="1"/>
  <c r="K14" i="1"/>
  <c r="M13" i="1"/>
  <c r="K13" i="1"/>
  <c r="M12" i="1"/>
  <c r="K12" i="1"/>
  <c r="M11" i="1"/>
  <c r="K11" i="1"/>
  <c r="M10" i="1"/>
  <c r="K10" i="1"/>
  <c r="M9" i="1"/>
  <c r="K9" i="1"/>
  <c r="M8" i="1"/>
  <c r="K8" i="1"/>
  <c r="M7" i="1"/>
  <c r="K7" i="1"/>
  <c r="M6" i="1"/>
  <c r="K6" i="1"/>
  <c r="M5" i="1"/>
  <c r="K5" i="1"/>
  <c r="M4" i="1"/>
  <c r="K4" i="1"/>
  <c r="C5" i="2" l="1"/>
  <c r="E5" i="2"/>
  <c r="F5" i="2" s="1"/>
  <c r="D5" i="2"/>
  <c r="D3" i="2"/>
  <c r="E3" i="2"/>
  <c r="F3" i="2" s="1"/>
  <c r="D4" i="2"/>
</calcChain>
</file>

<file path=xl/sharedStrings.xml><?xml version="1.0" encoding="utf-8"?>
<sst xmlns="http://schemas.openxmlformats.org/spreadsheetml/2006/main" count="560" uniqueCount="288">
  <si>
    <t>Real-World样本采集记录表 ｜ Neurocomputing修订版数据集</t>
  </si>
  <si>
    <t>使用说明：S0=无绝对数值段落（弱grounding）；S1=含≥2个绝对数值段落（强grounding）。Sample ID格式：RW_S0_021起 / RW_S1_021起。每行=1个样本。</t>
  </si>
  <si>
    <t>Sample ID
(必填)</t>
  </si>
  <si>
    <t>Grounding
条件</t>
  </si>
  <si>
    <t>公司名称</t>
  </si>
  <si>
    <t>Ticker
股票代码</t>
  </si>
  <si>
    <t>行业
分类</t>
  </si>
  <si>
    <t>财年
Fiscal Year</t>
  </si>
  <si>
    <t>10-K
申报日期</t>
  </si>
  <si>
    <t>来源章节
(如 MD&amp;A p.32)</t>
  </si>
  <si>
    <t>SEC EDGAR
链接</t>
  </si>
  <si>
    <t>Input段落
原文</t>
  </si>
  <si>
    <t>Input
词数</t>
  </si>
  <si>
    <t>Reference
Summary</t>
  </si>
  <si>
    <t>Summary
词数</t>
  </si>
  <si>
    <t>段落中
绝对数值举例</t>
  </si>
  <si>
    <t>S0/S1
自检通过?</t>
  </si>
  <si>
    <t>采集
日期</t>
  </si>
  <si>
    <t>采集人</t>
  </si>
  <si>
    <t>备注</t>
  </si>
  <si>
    <t>RW_S0_021</t>
  </si>
  <si>
    <t>S0</t>
  </si>
  <si>
    <t>待确认</t>
  </si>
  <si>
    <t>RW_S0_022</t>
  </si>
  <si>
    <t>RW_S0_023</t>
  </si>
  <si>
    <t>RW_S0_024</t>
  </si>
  <si>
    <t>RW_S0_025</t>
  </si>
  <si>
    <t>RW_S0_026</t>
  </si>
  <si>
    <t>RW_S0_027</t>
  </si>
  <si>
    <t>RW_S0_028</t>
  </si>
  <si>
    <t>RW_S0_029</t>
  </si>
  <si>
    <t>RW_S0_030</t>
  </si>
  <si>
    <t>RW_S0_031</t>
  </si>
  <si>
    <t>RW_S0_032</t>
  </si>
  <si>
    <t>RW_S0_033</t>
  </si>
  <si>
    <t>RW_S0_034</t>
  </si>
  <si>
    <t>RW_S0_035</t>
  </si>
  <si>
    <t>RW_S0_036</t>
  </si>
  <si>
    <t>RW_S0_037</t>
  </si>
  <si>
    <t>RW_S0_038</t>
  </si>
  <si>
    <t>RW_S0_039</t>
  </si>
  <si>
    <t>RW_S0_040</t>
  </si>
  <si>
    <t>RW_S0_041</t>
  </si>
  <si>
    <t>RW_S0_042</t>
  </si>
  <si>
    <t>RW_S0_043</t>
  </si>
  <si>
    <t>RW_S0_044</t>
  </si>
  <si>
    <t>RW_S0_045</t>
  </si>
  <si>
    <t>RW_S0_046</t>
  </si>
  <si>
    <t>RW_S0_047</t>
  </si>
  <si>
    <t>RW_S0_048</t>
  </si>
  <si>
    <t>RW_S0_049</t>
  </si>
  <si>
    <t>RW_S0_050</t>
  </si>
  <si>
    <t>RW_S1_021</t>
  </si>
  <si>
    <t>S1</t>
  </si>
  <si>
    <t>RW_S1_022</t>
  </si>
  <si>
    <t>RW_S1_023</t>
  </si>
  <si>
    <t>RW_S1_024</t>
  </si>
  <si>
    <t>RW_S1_025</t>
  </si>
  <si>
    <t>RW_S1_026</t>
  </si>
  <si>
    <t>RW_S1_027</t>
  </si>
  <si>
    <t>RW_S1_028</t>
  </si>
  <si>
    <t>RW_S1_029</t>
  </si>
  <si>
    <t>RW_S1_030</t>
  </si>
  <si>
    <t>RW_S1_031</t>
  </si>
  <si>
    <t>RW_S1_032</t>
  </si>
  <si>
    <t>RW_S1_033</t>
  </si>
  <si>
    <t>RW_S1_034</t>
  </si>
  <si>
    <t>RW_S1_035</t>
  </si>
  <si>
    <t>RW_S1_036</t>
  </si>
  <si>
    <t>RW_S1_037</t>
  </si>
  <si>
    <t>RW_S1_038</t>
  </si>
  <si>
    <t>RW_S1_039</t>
  </si>
  <si>
    <t>RW_S1_040</t>
  </si>
  <si>
    <t>RW_S1_041</t>
  </si>
  <si>
    <t>RW_S1_042</t>
  </si>
  <si>
    <t>RW_S1_043</t>
  </si>
  <si>
    <t>RW_S1_044</t>
  </si>
  <si>
    <t>RW_S1_045</t>
  </si>
  <si>
    <t>RW_S1_046</t>
  </si>
  <si>
    <t>RW_S1_047</t>
  </si>
  <si>
    <t>RW_S1_048</t>
  </si>
  <si>
    <t>RW_S1_049</t>
  </si>
  <si>
    <t>RW_S1_050</t>
  </si>
  <si>
    <t>Real-World样本采集进度看板</t>
  </si>
  <si>
    <t>分类</t>
  </si>
  <si>
    <t>目标数量</t>
  </si>
  <si>
    <t>已完成</t>
  </si>
  <si>
    <t>完成率</t>
  </si>
  <si>
    <t>剩余</t>
  </si>
  <si>
    <t>状态</t>
  </si>
  <si>
    <t>S0样本</t>
  </si>
  <si>
    <t>S1样本</t>
  </si>
  <si>
    <t>合计</t>
  </si>
  <si>
    <t>行业分布建议</t>
  </si>
  <si>
    <t>科技/互联网</t>
  </si>
  <si>
    <t>~10家</t>
  </si>
  <si>
    <t>Apple, Microsoft, Alphabet, Meta, Amazon</t>
  </si>
  <si>
    <t>金融/银行</t>
  </si>
  <si>
    <t>JPMorgan, Goldman Sachs, Bank of America</t>
  </si>
  <si>
    <t>制造/工业</t>
  </si>
  <si>
    <t>GE, Honeywell, Caterpillar</t>
  </si>
  <si>
    <t>消费品/零售</t>
  </si>
  <si>
    <t>Walmart, Procter &amp; Gamble, Nike</t>
  </si>
  <si>
    <t>医疗/制药</t>
  </si>
  <si>
    <t>J&amp;J, Pfizer, UnitedHealth</t>
  </si>
  <si>
    <t>能源</t>
  </si>
  <si>
    <t>ExxonMobil, Chevron</t>
  </si>
  <si>
    <t>每条样本采集完成后的自检清单</t>
  </si>
  <si>
    <t>通用检查</t>
  </si>
  <si>
    <t>☐</t>
  </si>
  <si>
    <t>Input来自真实10-K文件，有可追溯的SEC EDGAR链接</t>
  </si>
  <si>
    <t>Input段落是纯叙述性文字，不是财务数字表格</t>
  </si>
  <si>
    <t>Reference Summary完全基于Input内容，未添加外部数据</t>
  </si>
  <si>
    <t>Sample ID连续无重复，格式正确（RW_S0_XXX / RW_S1_XXX）</t>
  </si>
  <si>
    <t>同一公司样本不超过2个</t>
  </si>
  <si>
    <t>采集日期已填写</t>
  </si>
  <si>
    <t>S0专项检查</t>
  </si>
  <si>
    <t>Input段落中无任何绝对货币金额（如$3.2B, USD 500M）</t>
  </si>
  <si>
    <t>Input段落中无绝对数量（如113,000 units, 15,000 employees）</t>
  </si>
  <si>
    <t>可以有相对表达（如grew 12%, increased significantly）</t>
  </si>
  <si>
    <t>Reference Summary中无凭空捏造的绝对数值</t>
  </si>
  <si>
    <t>S1专项检查</t>
  </si>
  <si>
    <t>Input段落中包含≥2个明确的绝对数值</t>
  </si>
  <si>
    <t>绝对数值举例已填入N列</t>
  </si>
  <si>
    <t>Reference Summary如引用数值，须与Input完全一致</t>
  </si>
  <si>
    <t>数值格式记录准确（含单位，如$86.8 billion）</t>
  </si>
  <si>
    <t>ansys</t>
  </si>
  <si>
    <t>global operation risk</t>
  </si>
  <si>
    <t>Our operations and performance depend significantly on global macroeconomic, specific foreign country and U.S. domestic
economic conditions. Global inflation and interest rates continued to be elevated throughout 2023. A deterioration in the
macroeconomic environment, including the impact of high inflation, may result in decreased demand for our products and
services, constrained credit and liquidity, reduced government spending and volatility in equity and foreign exchange markets.
In addition, significant downturns and volatility in the global economy expose us to impairments of certain assets if their values
deteriorate. Tighter credit due to economic conditions may diminish our future borrowing ability and increase borrowing costs
under our existing credit facilities. Customers' ability to pay for our products and services may also be impaired, which could
lead to an increase in our allowance for doubtful accounts and write-offs of accounts receivable.
Furthermore, escalating global tensions, including due to the deterioration of the diplomatic and political relationships between
the United States and other countries where we conduct business, such as China, and the ongoing global volatility due to wars
and conflicts (such as those between Russia and Ukraine and/or Israel and Hamas), could adversely affect our future operations
and lead to a decline in financial performance.
A significant portion of our business comes from outside the United States and our customers supply a wide array of goods and
services to most of the world's major economic regions. International revenue represented 53.4%, 54.9% and 54.5% of our total
revenue for the years ended December 31, 2023, 2022 and 2021, respectively. In fiscal year 2023, our largest geographic
revenue bases were the United States, Japan and Germany.</t>
  </si>
  <si>
    <t>information technology</t>
  </si>
  <si>
    <t>anss</t>
  </si>
  <si>
    <t>Revenue for the year ended December 31, 2023 increased 9.9% compared to the year ended December 31, 2022, or 10.2% in
constant currency. Maintenance revenue growth of 9.9%, or 10.3% in constant currency, is correlated with the license sales
discussed later in this paragraph and is driven substantially by our existing customer base. The reported $99.3 million growth in
maintenance revenue was attributable to a $95.8 million increase in maintenance associated with lease licenses and a
$3.5 million increase in maintenance associated with perpetual sales. Subscription lease license revenue increased 14.3%, or
14.4% in constant currency, as compared to the year ended December 31, 2022, with substantially all of the increase
attributable to additional sales to our existing customers. The reported $98.4 million increase in lease license revenue was
attributable to a $83.8 million increase in value from multi-year licenses and a $14.6 million increase in value from annual
licenses.
We continue to experience increased demand from our customers for contracts that often include longer-term, subscription
leases involving a larger number of our software products. These arrangements typically involve a higher overall transaction
price. The upfront recognition of license revenue related to these larger transactions can result in significant subscription lease
revenue volatility. Software products, across a large variety of applications and industries, are increasingly distributed in
software-as-a-service, cloud and other subscription environments in which the licensing approach is time-based rather than
perpetual. This preference could result in a shift from perpetual licenses to time-based licenses, such as subscription leases, over
the long term.</t>
  </si>
  <si>
    <t>Results of Operations</t>
  </si>
  <si>
    <t>Effective Tax Rate</t>
  </si>
  <si>
    <t>msft</t>
  </si>
  <si>
    <t>For revenue and cost of revenue associated with bookings on our platform outside of the United States, we generally receive net foreign currency amounts and therefore benefit
from a weakening of the U.S. dollar and are adversely affected by a strengthening of the U.S. dollar. Movements in foreign exchange rates are recorded in other income (expense),
net in our consolidated statements of operations. Furthermore, our platform generally enables guests to make payments in the currency of their choice to the extent that the currency
is supported by Airbnb, which may not match the currency in which the Host elects to be paid. As a result, in those cases, we bear the currency risk of both the guest payment as
well as the Host payment due to timing differences in such payments.
We enter into foreign currency derivative contracts to protect against foreign exchange risks. These hedges are primarily designed to manage foreign exchange risk associated with
forecasted foreign denominated revenue, balances held as funds payable and amounts payable to customers, and unbilled amounts for confirmed bookings under the terms of our
Pay Less Upfront program. These contracts reduce, but do not entirely eliminate, the impact of foreign currency exchange rate movements on our revenue, assets and liabilities.
However, we may choose not to hedge certain exposures for a variety of reasons including accounting considerations or the prohibitive economic cost of hedging particular
exposures.
We have experienced and will continue to experience fluctuations in foreign exchange gains and losses related to changes in exchange rates. If our foreign-currency denominated
assets, liabilities, revenues or expenses increase, our results of operations may be more significantly impacted by fluctuations in the exchange rates of the currencies in which we do
business.</t>
  </si>
  <si>
    <t>Item 7. Management’s Discussion and Analysis of Financial Condition and Results of Operations</t>
  </si>
  <si>
    <t xml:space="preserve">In 2023, revenue increased by 18% to $9.9 billion compared to 2022, primarily due to a 14% increase in Nights and Experiences Booked of 54.5 million combined with higher
average daily rates driving a 16% increase in Gross Booking Value of $10.0 billion. The growth in revenue demonstrated continued strong travel demand. On a constant-currency
basis, revenue increased 17% in 2023 compared to 2022.
Net income in 2023 increased by 153% to $4.8 billion, compared to the prior year, driven by our revenue growth, increased interest income, discipline in managing our cost structure,
and the release of a portion of our valuation allowance on deferred tax assets of $2.9 billion (see Note 14, Income Taxes, to our consolidated financial statements included in Item 8
of this Annual Report on Form 10-K for further details). The increase in net income was partially offset by an increase in business and operational taxes of $991 million, the majority
of which was non-recurring.
Adjusted EBITDA increased 26% to $3.7 billion in 2023 demonstrating the continued strength of our business, a modest increase in ADR, and discipline in managing our cost
structure.
Our net cash provided by operating activities was $3.9 billion in 2023, compared to $3.4 billion, in the prior year. We generated Free Cash Flow of $3.8 billion for the year ended
December 31, 2023, compared to $3.4 billion, in the prior year. The increase was primarily driven by growth in revenue, unearned fees and net income.
During 2023, we repurchased an aggregate of 17.9 million shares of Class A common stock for $2.3 billion, through two share repurchase programs. As of December 31, 2023, we
had $750 million available to repurchase shares of Class A common stock under our share repurchase program.
</t>
  </si>
  <si>
    <t>airbnb</t>
  </si>
  <si>
    <t>Increased sales of our security solutions, led by application security solutions and our microsegmentation solutions,
and increased sales of our cloud computing solutions, attributable to enhanced services on our compute platform, and
growth in our Cloud Infrastructure Services, have made a significant contribution to revenue growth. Our security and
cloud computing solutions continue to contribute to a large portion of revenue. We plan to continue to invest in these
areas with a focus on higher growth security products and Cloud Infrastructure Services to further advance our product
portfolios and sales capabilities.
• Traffic growth on our network has improved, but remains moderated as compared to prior years. We, and the industry
more broadly, are seeing growth at a slower pace than we have experienced in the past. In particular, customers in
verticals such as media and gaming have optimized their traffic to manage through underlying business challenges at a
time of global macroeconomic and geopolitical headwinds. Some of our customers' businesses have been impacted by
these headwinds, and as a result, they may continue to reduce their spending or optimize their traffic, which would
reduce traffic on our network and revenue. However, we are seeing incremental traffic from contracts acquired as part
of our recent asset acquisitions. We expect these traffic growth trends to continue in 2026.</t>
  </si>
  <si>
    <t>akam</t>
  </si>
  <si>
    <t>Sales increased 12% in 2025, compared to the prior year. Changes in foreign exchange rates increased net sales by
$4.4 billion in 2025. For a discussion of the effect of foreign exchange rates on sales growth, see “Effect of Foreign Exchange
Rates” below.
North America sales increased 10% in 2025, compared to the prior year. The sales growth primarily reflects increased
unit sales, including sales by third-party sellers, advertising sales, and subscription services. Increased unit sales were driven
largely by our continued focus on price, selection, and convenience for our customers, including from our fast shipping offers.
Changes in foreign exchange rates reduced North America net sales by $454 million in 2025.
International sales increased 13% in 2025, compared to the prior year. The sales growth primarily reflects increased unit
sales, including sales by third-party sellers, advertising sales, and subscription services. Increased unit sales were driven largely by our continued focus on price, selection, and convenience for our customers, including from our fast shipping offers. Changes
in foreign exchange rates increased International net sales by $4.9 billion in 2025.
AWS sales increased 20% in 2025, compared to the prior year. The sales growth primarily reflects increased customer
usage, partially offset by pricing changes primarily driven by long-term customer contracts.</t>
  </si>
  <si>
    <t>amazon</t>
  </si>
  <si>
    <t>Amazon’s revenue in 2025 grew 12% year-over-year (“YoY”) from $638 billion to $717 billion. By segment,
North America revenue increased 10% YoY from $387 billion to $426 billion, International revenue grew
13% YoY from $143 billion to $162 billion, and AWS revenue increased 20% YoY, from $108 billion to
$129 billion.
Amazon’s operating income in 2025 improved 17% YoY, from $69 billion (an operating margin of 10.8%) to
$80 billion (an operating margin of 11.2%).
Free Cash Flow decreased from $38 billion to $11 billion, driven primarily by a year-over-year increase of
$50.7 billion in purchases of property and equipment, net of proceeds from sales and incentives. This FCF
change primarily reflects capex investments in artificial intelligence.</t>
  </si>
  <si>
    <t>aosmith</t>
  </si>
  <si>
    <t>ITEM 1A – RISK FACTORS</t>
  </si>
  <si>
    <t>Our operations could be adversely impacted by material and component price volatility, as well as supplier
concentration
The market prices for certain materials and components we purchase, primarily steel, can be volatile. In recent years, we have
also experienced inflation-related increases in our transportation and input costs. In addition tariffs could potentially increase
volatility in prices of steel and other input materials. Significant increases in the cost of any of the key materials and
components we purchase would increase our cost of doing business and ultimately could lead to lower operating earnings if
we are not able to recover these cost increases through price increases to our customers. Historically, there has been a lag in
our ability to recover increased material costs from customers, and that lag, could negatively impact our profitability. In some
cases, we are dependent on a limited number of suppliers for some of the raw materials and components we require in the
manufacturing of our products. A significant disruption or termination of the supply from one of these suppliers could delay
sales or increase costs which could result in a material adverse effect on our financial condition, results of operations and
cash flows.</t>
  </si>
  <si>
    <t>Our sales in 2025 were $3,830.2 million, an increase of $12.1 million compared to 2024 sales of $3,818.1 million. Our net
sales increase was mainly due to implementing price increases to address rising input costs, including tariffs, as well as
higher sales volumes of commercial water heaters and boilers. Additionally, the acquisition of Pureit in late 2024 contributed
incremental sales of $54 million in 2025. These positive factors outweighed the impact of decreased volumes in China, lower
residential water heater sales in North America, and an unfavorable currency translation of approximately $7 million due to
the depreciation of foreign currencies compared to the U.S. dollar.
Our 2025 gross profit margin of 38.8 percent increased compared to 38.1 percent in 2024. The higher gross profit margin in
2025 compared to 2024 was primarily driven by the benefits of pricing actions implemented early in 2025 to address
increased input costs in North America and higher mix of commercial water heaters and boilers.
Selling, general, and administrative (SG&amp;A) expenses were $759.4 million in 2025, or $20.1 million higher than in 2024. The
increase in SG&amp;A expenses in 2025 compared to the prior year was primarily due to higher employee costs, partially offset
by benefits of our 2024 China restructuring actions.</t>
  </si>
  <si>
    <t>abbot</t>
  </si>
  <si>
    <t>Operating Earnings</t>
  </si>
  <si>
    <t>Gross profit margins were
50.3 percent of net sales in 2023, 51.5 percent of net sales in 2022,and 52.2 percent
of net sales in 2021. The decrease in 2023reflects the unfavorable effects of lower sales of COVID-19 tests, foreign exchange, and higher costs for various manufacturing inputs, partially offset bythe nonrecurrence of the negative impact in 2022 of the voluntary product recall in the Nutritional business and the impact in 2023 of gross marginimprovement initiatives. In 2022, the decrease reflected the impact of the voluntary infant product recall and Sturgis manufacturing stoppage, as well as theprioritization of infant formula sales related to the WIC Program in the Nutritional business. The decrease also reflected higher manufacturing and supplychain costs across Abbott's businesses, including inflation, commodities and distribution expenses.
Research and development (R&amp;D) expenses were $2.7 billion in 2023, $2.9 billion in 2022, and $2.7 billion in 2021. The decrease in R&amp;D expense in2023 was primarily driven by lower restructuring charges, lower impairment charges related to in-process R&amp;D assets acquired in previous businesscombinations, and other cost reductions. The increase in 2022 versus 2021 primarily reflected higher spending on various projects to advance products indevelopment, as well as a charge related to the impairment of certain in-process R&amp;D intangible assets, partially offset by the favorable impact of foreignexchange.
Selling, general and administrative (SG&amp;A) expenses were $10.9 billion in 2023,$11.2 billion
in 2022 and $11.3 billion in 2021.
The 2023 decreasereflects the favorable impact of foreign exchange and lower restructuring charges in 2023 as well as the non-recurrence of 2022 expenses related to thevoluntary product recall in the Nutritional segment. SG&amp;A expenses were virtually unchanged in 2022 compared to 2021 as higher selling and marketingspending to drive growth was offset by the favorable impact of foreign exchange.</t>
  </si>
  <si>
    <t>ITEM 7. MANAGEMENT’S DISCUSSION AND ANALYSIS OF FINANCIAL CONDITION AND RESULTS OF OPERATIONS</t>
  </si>
  <si>
    <t>Abbott’s revenues are derived primarily from the sale of a broad line of health care products, which include medical devices, diagnostic testing products,nutritional products and branded generic pharmaceuticals. These products are sold under short-term receivable arrangements. Patent protection andlicenses, technological and performance features, and inclusion of Abbott’s products under a contract most impact which products are sold; price controls,competition and rebates most impact the net selling prices of products; and the measurement of net sales and costs is impacted by foreign currencytranslation. Sales in international markets comprise 61 percent of consolidated net sales.</t>
  </si>
  <si>
    <t>International sales declined 11% in 2025, or 10% excluding the unfavorable effect of foreign exchange. The international sales decline was primarily due to
lower sales of Gardasil/Gardasil 9, Simponi, Lagevrio, Januvia, Bridion, Remicade, and Janumet, partially offset by higher sales of Keytruda, Prevymis, Winrevair,
increased alliance revenue from Koselugo and Lynparza, as well as higher sales of animal health products. International sales represented 44% and 50% of total sales
in 2025 and 2024, respectively.</t>
  </si>
  <si>
    <t>merck</t>
  </si>
  <si>
    <t>Worldwide sales were $65.0 billion in 2025, representing growth of 1% compared with 2024, or 2% excluding the unfavorable effect of foreign exchange.
Global sales growth was primarily due to higher sales in the oncology franchise, largely due to the performance of Keytruda and Welireg, as well as increased alliance
revenue from Koselugo (resulting from an amendment to the collaboration agreement), Reblozyl, and Lynparza. Also contributing to revenue growth in 2025 were
higher sales in the cardiometabolic and respiratory franchise, largely attributable to the ongoing launch of Winrevair, as well as the inclusion of Ohtuvayre sales
following the October 2025 acquisition of Verona Pharma. Growth in the diabetes franchise largely attributable to higher net pricing of Januvia, and higher sales of
animal health products largely due to the performance of livestock products also drove sales growth. Revenue growth in 2025 was largely offset by lower sales in the
vaccines franchise primarily due to Gardasil/Gardasil 9, partially offset by the ongoing launch of Capvaxive and the U.S. launch of Enflonsia. Revenue growth in 2025
was also offset by lower sales in the immunology franchise due to the return of the marketing rights for Remicade and Simponi in former Merck territories to Johnson &amp;
Johnson on October 1, 2024, and by lower sales in the virology franchise largely attributable to Lagevrio.
Sales in the U.S. grew 13% to $36.5 billion in 2025 primarily driven by higher sales of Keytruda, Winrevair, Capvaxive, Januvia, Bridion, Gardasil 9,
Welireg, Janumet, and Prevymis. The inclusion of Ohtuvayre sales, higher alliance revenue from Reblozyl, and higher sales of animal health products also contributed
to U.S. revenue growth. U.S. sales growth in 2025 was partially offset by lower sales of Dificid and Lagevrio.</t>
  </si>
  <si>
    <t>Item 7. Management’s Discussion and Analysis of Financial Condition and Results of Operations.</t>
  </si>
  <si>
    <t>We reported net sales of $159.5 billion in fiscal 2024. Net earnings were $14.8 billion, or $14.91 per diluted share. Fiscal 2024 consisted of 53
weeks compared to 52 weeks in fiscal 2023. The 53 week in fiscal 2024 added approximately $2.5 billion of net sales and increased diluted
earnings per share by approximately $0.30.
During fiscal 2024, we opened ten new stores in the U.S. and two new stores in Mexico, resulting in a total store count of 2,347 at February 2,
2025. A total of 322 of our stores, or 13.7%, were located in Canada and Mexico. Total sales per retail square foot were $599.92 in fiscal 2024.
Our inventory turnover ratio was 4.7 times at the end of fiscal 2024, compared to 4.3 times at the end of fiscal 2023. The increase in our
inventory turnover ratio was primarily driven by lower average inventory levels within our Primary segment during fiscal 2024.
During fiscal 2024, we generated $19.8 billion of cash flow from operations, received approximately $10.0 billion of proceeds from the issuance
of long-term debt, net of discounts, and received $316 million of proceeds from commercial paper borrowings, net of repayments. We utilized a
combination of commercial paper borrowings and the issuance of long-term debt, together with cash on hand, to fund the acquisition of SRS,
with cash purchase consideration totaling $17.7 billion. Specifically, in June 2024, leading up to the SRS acquisition on June 18, 2024, we raised
commercial paper borrowings of over $15.0 billion to fund the transaction, of which approximately $10.0 billion was then immediately repaid with
the proceeds from our issuance of long-term debt. We have subsequently repaid all of the commercial borrowings used to fund the acquisition
and ended fiscal 2024 with $316 million of commercial paper borrowings outstanding.</t>
  </si>
  <si>
    <t>homedepot</t>
  </si>
  <si>
    <t>Executive Summary</t>
  </si>
  <si>
    <t>Comparable sales is a measure that highlights the performance of our existing locations and websites by measuring the
change in net sales for a period over the comparable prior period of equivalent length. Comparable sales includes sales at all locations, physical
and online, open greater than 52 weeks (including remodels and relocations) and excludes closed stores. Retail stores become comparable on
the Monday following their 52 week of operation. Acquisitions are typically included in comparable sales after they have been owned for more
than 52 weeks. Our comparable sales results for fiscal 2024 exclude the 53rd week and compare weeks 1 through 52 in fiscal 2024 to the 52-
week period reported for fiscal 2023. The method of calculating comparable sales varies across the retail industry. As a result, our method of
calculating comparable sales may not be the same as similarly titled measures reported by other companies.
Total comparable sales decreased 1.8% in fiscal 2024, reflecting a 1.0% decrease in comparable customer transactions and a 0.9% decrease in
comparable average ticket compared to fiscal 2023. The decrease in comparable customer transactions primarily reflects the impact of
heightened macroeconomic uncertainties and other macroeconomic factors, including the impacts of a persisting high interest rate environment
pressuring home improvement demand. The decrease in comparable average ticket primarily reflects price stabilization relative to last year,
slightly offset by demand for new and innovative products.
For fiscal 2024, our Power and Building Materials merchandising departments posted positive comparable sales compared to fiscal 2023. All of
our other merchandising departments posted negative comparable sales during fiscal 2024 compared to fiscal 2023.</t>
  </si>
  <si>
    <t xml:space="preserve">In 2024, the Company recorded other operating charges of $4,163 million. These charges consisted of $3,109 million related to the remeasurement of our contingentconsideration liability to fair value in conjunction with our acquisition of fairlife in 2020, $760 million related to the impairment of our BodyArmor trademark, $133 millionrelated to the Company’s productivity and reinvestment program and $126 million related to the impairment of a trademark in Latin America. In addition, other operatingcharges included $15 million for the amortization of noncompete agreements related to the BodyArmor acquisition in 2021, $13 million related to an indemnificationagreement entered into as a part of the refranchising of certain of our bottling operations, $7 million of transaction costs related to the refranchising of our bottling operations incertain territories in India and $2 million of transaction costs related to the sale of a portion of our interest in Coca-Cola Consolidated, Inc. (“Coke Consolidated”), an equitymethod investee. These charges were partially offset by a net benefit of $2 million related to a revision of management’s estimates for tax litigation expense.
</t>
  </si>
  <si>
    <t>cocacola</t>
  </si>
  <si>
    <t>Other Operating Charges</t>
  </si>
  <si>
    <t>The decrease in our operating margin on a consolidated basis was primarily due to higher commodity costs; higher selling, general and administrative expenses; higher otheroperating charges; and an unfavorable foreign currency exchange rate impact. The impact of these items was partially offset by favorable pricing initiatives and the impact ofrefranchising our bottling operations in the Philippines, Bangladesh and certain territories in India.
In 2024, fluctuations in foreign currency exchange rates unfavorably impacted consolidated operating income by 11% due to a stronger U.S. dollar compared to certain foreigncurrencies, including the Argentine peso, Mexican peso, Brazilian real, Zimbabwean dollar, Turkish lira, Nigerian naira and Japanese yen, which had an unfavorable impact onour Latin America; Europe, Middle East and Africa; and Asia Pacific operating segments. The unfavorable impact of a stronger U.S. dollar compared to the currencies listedabove was partially offset by the impact of a weaker U.S. dollar compared to certain other foreign currencies, including the euro and British pound, which had a favorableimpact on our Europe, Middle East and Africa and Global Ventures operating segments.</t>
  </si>
  <si>
    <t>Operating Income and Operating Margin</t>
  </si>
  <si>
    <t>kimberley-clark</t>
  </si>
  <si>
    <t>kmb</t>
  </si>
  <si>
    <t>ITEM 7. MANAGEMENT'S DISCUSSION AND ANALYSIS OF FINANCIAL CONDITION AND RESULTS OF OPERATIONS</t>
  </si>
  <si>
    <t>As a global organization, we are subject to income tax requirements in various jurisdictions in the U.S. and internationally. Changes in certainassumptions related to income taxes could significantly affect consolidated results, particularly with regard to valuation allowances ondeferred tax assets, undistributed earnings of subsidiaries outside the U.S. and uncertain tax positions. Our income tax related accounting policies, account balances and matters affecting income taxes are discussed in Item 8, Note 13 to the consolidated financial statement.</t>
  </si>
  <si>
    <t>Net sales of $20.1 billion declined 1.8% primarily due to unfavorable currency impacts and divestitures and business exits. Organicsales increased 3.2% driven by higher pricing, primarily in hyperinflationary economies, and volume and mix gains.
Operating Profit of $3.2 billion increased 36.9% while Net Income Attributable to Kimberly-Clark of $2.5 billion increased 44.3%.Results primarily benefited from higher gross margins and the gain on sale of our PPE business, partially offset by charges related tothe 2024 Transformation Initiative. Prior year results were primarily impacted by charges related to the impairment of intangibleassets.
Diluted earnings per share were $7.55 compared to $5.21, an increase of 44.9%, reflective of the growth in net income. Results in2024 included a net benefit of $0.25 for items not reflective of our ongoing operations compared with a net charge of $1.36 in theprior year.
We continue to focus on generating cash flow and allocating capital to shareholders. Cash provided by operations was $3.2 billion in2024. We raised our dividend in 2024 by 3.4%, the 52nd consecutive annual increase in our dividend, and altogether sharerepurchases and dividends in 2024 amounted to $2.6 billion.</t>
  </si>
  <si>
    <t>P&amp;G</t>
  </si>
  <si>
    <t>PNG</t>
  </si>
  <si>
    <t>SUMMARY OF 2023 RESULTS</t>
  </si>
  <si>
    <t>Net sales increased 2% to $82.0 billion versus the prior year. The net sales growth was driven by a mid-single-digit increase in Health Care, low single-digit increases in Fabric &amp; Home Care, Baby, Feminine &amp; Family Care and Beauty, partially offset by a low single-digit decrease in Grooming. Organic sales, which excludes the impact of acquisitions and divestitures and foreign exchange, increased 7%. Organic sales increased high single digits in Health Care and Fabric &amp; Home Care and mid-single digits in Baby, Feminine &amp; Family Care, Beauty and Grooming.
Operating income increased $321 million, or 2%, to $18.1 billion versus year ago due to the increase in net sales, partially offset by a modest decrease in operating margin.
Net earnings decreased modestly by $55 million to $14.7 billion versus year ago as the increase in operating income was more than fully offset by a higher effective tax rate. Foreign exchange impacts reduced net earnings by approximately $1.4 billion.
Net earnings attributable to Procter &amp; Gamble decreased $89 million, or 1%, to $14.7 billion versus the prior year due primarily to the decrease in net earnings.</t>
  </si>
  <si>
    <t>Cover letter to Shareowners</t>
  </si>
  <si>
    <t>Organic sales for the fiscal year grew 7%. Core earnings per share grew 2%. Currency-neutral core earnings per share were up 11%. Adjusted free cash flow productivity was 95%.
This was our second consecutive year of 7% organic sales growth and fifth consecutive year of 5% or
better organic growth — starting in fiscal 2019:
5%, 6%, 6%, 7%, 7%.
Growth was broad-based across business units, with all 10 of our product categories growing organic sales. Personal Health Care grew mid-teens. Feminine Care grew double digits. Fabric Care, Home Care and Hair Care were each up high single digits. Skin &amp; Personal Care, Baby Care, Family Care and Grooming each grew mid-single digits. Oral Care grew low single digits.</t>
  </si>
  <si>
    <t>Walmart</t>
  </si>
  <si>
    <t>wmt</t>
  </si>
  <si>
    <t>ITEM 7.
MANAGEMENT'S DISCUSSION AND ANALYSIS OF FINANCIAL CONDITION AND RESULTS OF OPERATIONS
Overview</t>
  </si>
  <si>
    <t>Our total revenues increased $32.9 billion or 5.1% and $36.8 billion or 6.0% for fiscal 2025 and 2024, respectively, when compared to the previous fiscal year. These increasesin revenues were primarily due to increases in net sales, which increased $31.9 billion or 5.0% and $36.8 billion or 6.1% for fiscal 2025 and 2024, respectively, when comparedto the previous fiscal year. The increases were primarily due to strong positive comparable sales across our U.S. segments and international markets, driven primarily by growthin transactions and unit volumes, which included strength in eCommerce as well as strong sales in grocery, and health and wellness. Net sales were negatively impacted by $3.2billion and positively impacted by $3.0 billion of fluctuations in currency exchange rates during fiscal 2025 and 2024, respectively. Membership and other income increased$1.0 billion and $0.1 billion for fiscal 2025 and fiscal 2024, primarily driven by growth in membership fee income globally.</t>
  </si>
  <si>
    <t>Comparable sales in the U.S., including fuel, increased 4.8% and 4.9% in fiscal 2025 and 2024, respectively, when compared to the previous fiscal year. Walmart U.S.comparable sales increased 4.8% and 5.5% in fiscal 2025 and 2024, respectively. For fiscal 2025, comparable sales growth was driven by growth in transactions and unitvolumes, with strong sales in grocery and health and wellness. For fiscal 2024, comparable sales growth was driven by growth in transactions combined with growth in averageticket, including strong sales in grocery and health and wellness.Walmart U.S. eCommerce sales positively contributed approximately 2.9% and 2.6% to comparable sales forfiscal 2025 and 2024, respectively, which was primarily driven by store-fulfilled pickup and delivery.
Comparable sales at Sam's Club U.S. increased 4.7% and 2.3% in fiscal 2025 and 2024, respectively. For fiscal 2025, Sam's Club U.S. comparable sales increased due togrowth in transactions and unit volumes, with strong sales in grocery and health and wellness. Sam's Club U.S. comparable sales for fiscal 2024 increased due to growth intransactions and average ticket,including strong sales in grocery and health and wellness. Additionally, fiscal 2025 and 2024 growth was partially offset by lower fuel sales primarily due to lower marketprices. Sam's Club U.S. eCommerce sales
positively
contributed approximately 2.3% and 1.7% to comparable sales for fiscal 2025 and 2024, respectively, which was primarilydriven by club-fulfilled curbside pickup and delivery.</t>
  </si>
  <si>
    <t>EOG Resources</t>
  </si>
  <si>
    <t>EOG</t>
  </si>
  <si>
    <t>energy</t>
  </si>
  <si>
    <t>ITEM 7. Management's Discussion and Analysis of Financial Condition and Results of Operations</t>
  </si>
  <si>
    <t>During 2025, total operating revenues decreased $1,066 million, or 4%, to $22,632 million from $23,698 million in
2024. Total revenues from sales of EOG's production of crude oil and condensate, NGLs and natural gas, increased $90
million, or 1%, to $17,668 million in 2025 from $17,578 million in 2024. Revenues from the sales of crude oil and condensate
and NGLs in 2025 were 84% of total revenues from sales of crude oil and condensate, NGLs and natural gas compared to 91%
in 2024. During 2025, EOG recognized net gains on the mark-to-market of financial commodity and other derivative contracts
of $13 million compared to net gains of $204 million in 2024. Gathering, processing and marketing revenues decreased $886
million during 2025, to $4,914 million from $5,800 million in 2024. EOG recognized net losses on asset dispositions of $35
million in 2025 compared to net gains on asset dispositions of $16 million in 2024.</t>
  </si>
  <si>
    <t>Exxon Mobile</t>
  </si>
  <si>
    <t>xom</t>
  </si>
  <si>
    <t>MANAGEMENT’S DISCUSSION AND ANALYSIS OF FINANCIAL CONDITION AND RESULTS OF OPERATIONS</t>
  </si>
  <si>
    <t>Total cash and cash equivalents were $23.2 billion at the end of 2024, down $8.4 billion from the prior year. The major sources of funds in 2024 were net income includingnoncontrolling interests of $35.1 billion, the adjustment for the noncash provision of $23.4 billion for depreciation and depletion, proceeds from asset sales of $5.0 billion, otherinvesting activities of $1.9 billion, and cash acquired from mergers and acquisitions of $0.8 billion. The major uses of funds included spending for additions to property, plantand equipment of $24.3 billion; dividends to shareholders of $16.7 billion; the purchase of ExxonMobil stock of $19.6 billion;
debt repayment of $5.9 billion;
additionalinvestments and advances of $3.3 billion; and an increase in working capital of $1.8 billion.
Total cash and cash equivalents were $31.6 billion at the end of 2023, up $1.9 billion from the prior year. The major sources of funds in 2023 were net income includingnoncontrolling interests of $37.4 billion, the adjustment for the noncash provision of $20.6 billion for depreciation and depletion, proceeds from asset sales of $4.1 billion, andother investing activities of $1.6 billion. The major uses of funds included spending for additions to property, plant and equipment of $21.9 billion; dividends to shareholders of$14.9 billion; the purchase of ExxonMobil stock of $17.7 billion; additional investments and advances of $3.0 billion; and a change in working capital of $4.3 billion.</t>
  </si>
  <si>
    <t>Energy for transportation - including cars, trucks, ships, trains, and airplanes - is expected to increase by about 25 percent from 2023 to 2050. Transportation energy demand isexpected to account for about 60 percent of the growth in liquid fuels demand worldwide over this period. Light-duty vehicle demand for liquid fuels is projected to peak byaround 2025, and then decline to levels seen in the early-2000s by 2050, as the impact of better fuel economy and significant growth in electric cars, led by China, Europe, andthe United States, work to offset growth in the worldwide car fleet of approximately 65 percent. By 2050, light-duty vehicles are expected to account for around 20 percent ofglobal liquid fuels demand. During the same time period, nearly all the world’s commercial transportation fleets are expected to continue to run on liquid fuels, includingbiofuels, which are expected to be widely available and offer practical advantages in providing a large quantity of energy in small volumes.</t>
  </si>
  <si>
    <t>Marathon Petroleum Corporation</t>
  </si>
  <si>
    <t>mpc</t>
  </si>
  <si>
    <t>Net income attributable to MPC decreased $6.24 billion in 2024 compared to 2023, primarily due to lower Refining &amp; Marketing margins, partially offset by a
decreased provision for income taxes.
Total revenues and other income decreased $9.90 billion in 2024 compared to 2023 primarily due to:
• decreased sales and other operating revenues of $9.52 billion primarily due to decreased average refined product sales prices of $0.24 per gallon, or 10
percent, partially offset by increased refined product sales volumes of 75 mbpd, or 2 percent;
• increased income from equity method investments of $306 million largely due to the gain on the sale of assets resulting from the Whistler Joint Venture
Transaction and increased income from our Martinez Renewables joint venture;
• decreased net gains on disposal of assets of $189 million mainly due to the $106 million gain on the sale of MPC’s 25 percent interest in South Texas
Gateway and $92 million associated with the remeasurement of MPLX’s existing equity investment in MarkWest Torñado GP, L.L.C. (“Torñado”), arising from
the acquisition of the remaining 40 percent interest in 2023; and
• decreased other income of $497 million largely due to lower income on RINs sales and lower insurance proceeds.</t>
  </si>
  <si>
    <t>CRITICAL ACCOUNTING ESTIMATES</t>
  </si>
  <si>
    <t>Morgan Stanley</t>
  </si>
  <si>
    <t>MS</t>
  </si>
  <si>
    <t>banking</t>
  </si>
  <si>
    <t>• The Firm reported net revenues of $61.8 billion and net
income of $13.4 billion, reflecting strong results across our
business segments.
• The Firm delivered ROE of 14.0% and ROTCE of 18.8%
(see “Selected Non-GAAP Financial Information” herein).
• The Firm expense efficiency ratio was 71% compared to
77% in the prior year, reflecting higher revenues and
expense discipline. In the prior year, the ratio was
negatively impacted by specific severance costs of $353
million, integration-related expenses of $293 million, an
FDIC special assessment of $286 million and higher legal
expenses related to a $249 million settlement in connection
with resolutions of investigations into the Firm’s blocks
business. (See “Expenses” herein for more information).
• The Firm accreted $5.6 billion of Common Equity Tier 1
capital while supporting clients and returning capital to
shareholders. At December 31, 2024, the Firm’s
Standardized Common Equity Tier 1 capital ratio was
15.9%.
• Institutional Securities net revenues of $28.1 billion reflect
higher results across businesses and regions on higher client
activity and improved market conditions.
• Wealth Management delivered net revenues of $28.4
billion, reflecting higher Asset management and
Transactional revenues. The pre-tax margin was 27.2%.
Fee-based asset flows were $123 billion and the business
added net new assets of $252 billion.
• IInvestment Management reported net revenues of $5.9
billion, primarily driven by asset management revenues on
higher average AUM.</t>
  </si>
  <si>
    <t>Management’s Discussion and Analysis</t>
  </si>
  <si>
    <t>Investments revenues are composed of realized and
unrealized gains and losses derived from investments,
including those associated with employee deferred
compensation and co-investment plans. Estimates of the fair
value of the investments that produce these revenues may
involve significant judgment and may fluctuate significantly
over time in light of business, market, economic and financial
conditions, generally or in relation to specific transactions.
Within the Institutional Securities segment, gains and losses
are primarily from business-related investments. Certain
investments are subject to sale restrictions.
Within the Investment Management business segment,
Investments revenues are primarily from performance-based
fees in the form of carried interest, a portion of which is
subject to reversal, and gains and losses from investments.
The business is entitled to receive carried interest when the
return in certain funds exceeds specified performance targets.
Additionally, we consolidate certain sponsored Investment
Management funds where revenues are primarily attributable
to holders of noncontrolling interests.</t>
  </si>
  <si>
    <t>Goldman Sachs</t>
  </si>
  <si>
    <t>GS</t>
  </si>
  <si>
    <t>We generated net earnings of $14.28 billion for 2024,
compared with $8.52 billion for 2023. Diluted earnings per
common share (EPS) was $40.54 for 2024, compared with
$22.87 for 2023. ROE was 12.7% for 2024, compared with
7.5% for 2023. Book value per common share was $336.77 as
of December 2024, 7.4% higher compared with December
2023.
Net revenues were $53.51 billion for 2024, 16% higher than
2023, primarily reflecting higher net revenues in Global
Banking &amp; Markets and Asset &amp; Wealth Management. The
increase in net revenues in Global Banking &amp; Markets
primarily reflected higher net revenues in Equities,
significantly higher Investment banking fees and higher net
revenues in Fixed Income, Currency and Commodities
(FICC). The increase in net revenues in Asset &amp; Wealth
Management primarily reflected significantly higher net
revenues in Equity investments and higher Management and
other fees. Net revenues in Platform Solutions were slightly
higher.
Provision for credit losses was $1.35 billion for 2024,
compared with $1.03 billion for 2023. Provisions for 2024
reflected net provisions related to the credit card portfolio
(primarily driven by net charge-offs). Provisions for 2023
reflected net provisions related to both the credit card
portfolio (primarily driven by net charge-offs) and wholesale
loans (primarily driven by impairments), partially offset by
reserve reductions related to the transfer of the GreenSky
loan portfolio to held for sale and the sale of substantially all
of the Marcus by Goldman Sachs (Marcus) loan portfolio.</t>
  </si>
  <si>
    <t xml:space="preserve">Management’s Discussion and Analysis </t>
  </si>
  <si>
    <t>Allowance for Credit Losses</t>
  </si>
  <si>
    <t>Bank of America Corporation</t>
  </si>
  <si>
    <t>BAC</t>
  </si>
  <si>
    <t>Management’s Discussion and Analysis of Financial Condition and Results of Operations</t>
  </si>
  <si>
    <t>Net income was $26.5 billion, or $3.08 per diluted share in 2023 compared to $27.5 billion, or $3.19 per diluted share in 2022. The decrease in net income was primarily due to higher noninterest expense and provision for credit losses, partially offset by higher net interest income. Net interest income increased $4.5 billion to $56.9 billion in 2023 compared to 2022. Net interest yield on a fully taxable-equivalent (FTE) basis increased 12 basis points (bps) to 2.08 percent for 2023. The increases were primarily driven by benefits from higher interest rates and loan growth, partially offset by higher funding costs, lower deposits and net interest income related to Global Markets activity. Noninterest income decreased $838 million to $41.7 billion in 2023 compared to 2022. Noninterest expense increased $4.4 billion to $65.8 billion in 2023 compared to 2022 primarily due to higher investments in people and technology and higher FDIC expense, including $2.1 billion for the estimated special assessment amount arising from the closure of Silicon Valley Bank and Signature Bank, partially offset by lower litigation expense and revenue-related compensation.</t>
  </si>
  <si>
    <t>We then measure and evaluate the impact that alternative
interest rate scenarios have on the baseline forecast in order to
assess interest rate sensitivity under varied conditions. The net
interest income forecast is frequently updated for changing
assumptions and differing outlooks based on economic trends,
market conditions and business strategies. Thus, we continually
monitor our banking book balance sheet position in order to
maintain an acceptable level of exposure to interest rate
changes.
The interest rate scenarios that we analyze incorporate
balance sheet assumptions such as loan and deposit growth
and pricing, changes in funding mix, product repricing, maturity
characteristics and investment securities premium amortization.
Our overall goal is to manage interest rate risk so that
movements in interest rates do not significantly adversely affect
earnings and capital.</t>
  </si>
  <si>
    <t>Market Risk Management</t>
  </si>
  <si>
    <t>AbbVie Inc.</t>
  </si>
  <si>
    <t>ABBV</t>
  </si>
  <si>
    <t>AbbVie's strategy has focused on delivering strong fi nancial results, maximizing the benefits of a diversified revenue base, advancing and investing in its pipeline and returning value to shareholders while ensuring a strong,sustainable growth business over the long term. The company's financial performance in 2024 included delivering worldwide net revenues of $56.3 billion, operati ng earnings of $9.1 billion, diluted earnings per share of $2.39 and cashflows from operations of $18.8 billion. Worldwide net revenues increased by 4% on a reported and 5% on a constant currency basis.
Diluted earnings per share in 2024 was $2.39 and included the following aft er-tax costs: (i) $6.5 billion related to the amorti zati on of intangible assets; (ii) $3.7 billion for the change in fair value of conti ngent considerati on liabiliti es;(iii) $3.5 billion related to intangible asset impairment; (iv) $978 million of acquisiti on and integrati on expenses; and (v) $721 million for charges related to liti gati on matt ers. These costs were parti ally off set by an income tax benefi t of $1.8billion primarily related to the sett lement of income tax examinati ons. Additi onally, fi nancial results refl ected conti nued funding to support all stages of AbbVie’s pipeline assets and conti nued investment in AbbVie’s on-market brands.</t>
  </si>
  <si>
    <t>Net revenues for Botox Cosmeti c increased 3% in 2024. In the United States, Botox Cosmeti c net revenues increased 1% primarily driven by favorable pricing, parti ally off set by the unfavorable impact of customer inventorydestocking and decreased consumer demand. Internati onally, Botox Cosmeti c net revenues increased 7% primarily driven by favorable pricing and increased consumer demand across key internati onal markets.
Net revenues for Juvederm Collecti on decreased 12% in 2024 primarily driven by the unfavorable impact of decreased consumer demand and customer inventory destocking.
Net revenues for Botox Therapeuti c increased 11% in 2024 primarily driven by conti nued market share uptake as well as market growth.
Net revenues for Vraylar increased 18% in 2024 primarily driven by conti nued market share uptake as well as market growth.
Net revenues for Ubrelvy increased 23% in 2024 primarily driven by conti nued market share uptake as well as market growth.
Net revenues for Qulipta increased 61% in 2024 primarily driven by conti nued strong market share uptake as well as market growth.</t>
  </si>
  <si>
    <t>EMERSON ELECTRIC CO.</t>
  </si>
  <si>
    <t>EMR</t>
  </si>
  <si>
    <t>FINANCIAL REVIEW</t>
  </si>
  <si>
    <t>Overall, in 2025 sales were $18.0 billion, up 3 percent compared with the prior year. Underlying sales, which exclude foreign currency translation, acquisitionsand divestitures, were also up 3 percent. Net earnings
from continuing operations
attributable to common stockholders were $2,285 in 2025, up 41 percent compared with prior year earnings of $1,618,and diluted earnings per share
from continuing operations
were $4.03, up 43 percent versus $2.82 in 2024. The prior year included purchase accountingrelated impacts from the NI acquisition and higher associated restructuring charges, and a pretax loss of $279 ($217 after-tax, $0.38 per share) related to theCompany's definitive agreement to sell its Copeland note receivable for $1.9 billion. Adjusted diluted earnings per share from continuing operations were $6.00compared with $5.49 in the prior year, reflecting sales growth and strong operating performance.
The Company generated operating cash flow from continuing operations of $3.7 billion in 2025, an increase of $359, or 11 percent, reflecting higher earningsand favorable changes in working capital.</t>
  </si>
  <si>
    <t>Notes to Consolidated Financial Statements
EMERSON ELECTRIC CO. &amp; SUBSIDIARIES</t>
  </si>
  <si>
    <t>Revenue is recognized over time for approximately
10
percent of the Company's revenues. These revenues primarily relate to projects in the Control Systems&amp; Software segment where revenue is recognized using the percentage-of-completion method to reflect the transfer of control over time, and softwaremaintenance contracts in the Software and Control business group where revenue is typically recognized on a straight-line basis. Approximately
15
percent ofrevenues relate to sales arrangements with multiple performance obligations, principally in the Software and Control business group. T
angible productsrepresent a large majority
of the delivered items in contracts with multiple performance obligations or where revenue is recognized over time, while a smallerportion is attributable to installation, service and maintenance.</t>
  </si>
  <si>
    <t>CUMMINS INC.</t>
  </si>
  <si>
    <t>CMI</t>
  </si>
  <si>
    <t>We generated $3.6 billion in cash from operations for the year ended December 31, 2025, compared to $1.5 billion in 2024. The $2.1 billion increase was mainly due to theabsence of $1.9 billion of payments in 2024 required by the Settlement Agreements. See the section titled “Cash Flows” in the “LIQUIDITY AND CAPITAL RESOURCES”section for a discussion of items impacting cash flows. See NOTE 14, “COMMITMENTS AND CONTINGENCIES,” to our
Consolidated Financial Statements
for additionalinformation on the Settlement Agreements.
Our debt to capital ratio (total capital defined as debt plus equity) at December 31, 2025, was 36.0 percent, compared to 38.4 percent at December 31, 2024. The decrease wasprimarily due to increased equity balances from strong earnings since December 31, 2024, partially offset by higher debt balances at December 31, 2025. At December 31,2025, we had $3.6 billion in cash and marketable securities on hand and access to our $4.0 billion credit facilities (net of $353 million of commercial paper outstanding), ifnecessary, to meet working capital, investment, acquisition and funding needs.</t>
  </si>
  <si>
    <t xml:space="preserve">Worldwide revenues decreased by 1 percent in 2025 compared to 2024, mainly due to weaker demand in on-highway commercial truck markets and the divestiture of Atmus inthe first quarter of 2024, partially offset by higher demand in power generation markets, especially data center and commercial markets, non-tariff pricing mainly related to thelaunch of updated engine products in light-duty automotive markets and customer tariff recoveries. Net sales in the U.S. and Canada declined by 3 percent mainly due to lowerdemand in heavy-duty and medium-duty truck markets and the divestiture of Atmus, partially offset by higher sales in power generation markets and non-tariff pricing mainlyrelated to the launch of updated engine products in light-duty automotive markets. International sales (excludes the U.S. and Canada) improved by 2 percent, primarily due tohigher sales in China and Europe, partially offset by lower sales in Latin America. The increase in international sales was primarily due to higher demand in power generationmarkets and increased off-highway demand (primarily construction), partially offset by weaker demand in on-highway commercial truck markets and the divestiture of Atmus.
</t>
  </si>
  <si>
    <t>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 Our 2025 server revenue was limited in Q4 2025 by our available supply of
products due to Intel Foundry wafer fabrication supply constraints, primarily with respect to our Intel 7 and Intel 3 process nodes, impacting our
ability to fully meet demand. We expect these supply constraints to persist into 2026, with the most severe constraints impacting Q1 2026. Other
DCAI product revenue also increased from 2024 driven by higher networking customer-related demand.</t>
  </si>
  <si>
    <t>Intel Products revenue was roughly flat with 2024, primarily due to lower CCG revenue
that was substantially offset by higher DCAI revenue. CCG revenue decreased 3% from 2024 primarily due to lower client revenue in the first half of 2025
driven by lower client volumes that were primarily attributable to the reduction of incremental incentives offered to certain customers in the first half of 2024.
In addition, CCG 2025 revenue was impacted by customer inventory level reductions in 2025 and by supply constraints on our internally manufactured
wafers in 2025 which affected our ability to fully meet market demand primarily for our products manufactured using our Intel 7 process node. DCAI revenue
increased 5% from 2024 driven by higher server revenue due to higher hyperscale customer-related demand and higher product revenue from higher
networking customer-related demand. Our 2025 DCAI revenue was limited in Q4 2025 by our available supply of products due to wafer fabrication supply
constraints at our manufacturing facilities, primarily with respect to our Intel 7 and Intel 3 process nodes, which impacted our ability to fully meet customer
demand. We expect these supply constraints to persist into 2026 and industry wide shortages of substrates, memory and other critical components may
further limit our ability to meet CCG and DCAI customer demand in 2026.</t>
  </si>
  <si>
    <t>INTEL CORPORATION</t>
  </si>
  <si>
    <t>INTL</t>
  </si>
  <si>
    <t>Consolidated Results of Operations</t>
  </si>
  <si>
    <t>Operating Segment Revenue Summary</t>
  </si>
  <si>
    <t>CATERPILLAR INC.</t>
  </si>
  <si>
    <t>cat</t>
  </si>
  <si>
    <t>In Construction Industries, we expect another year of sales of equipment to end users growth in 2026 compared to 2025, supported by elevated order rates and
a robust backlog. The outlook for North America remains positive, as sales of equipment to end users should grow moderately compared to 2025 with
construction spending remaining healthy due to Infrastructure Investment and Jobs Act (IIJA) funding and other critical infrastructure programs. We also
anticipate accelerated investment in data centers, which will further bolster overall construction spending. In 2026, dealer rental fleet loading and dealer's rental
revenue are both projected to increase, compared to 2025. In EAME, economic conditions in Europe are expected to strengthen, and construction activity in
Africa and the Middle East is projected to remain strong. In Asia Pacific, outside of China, moderate economic conditions are expected in 2026. We anticipate
positive momentum in China from low levels, with growth in the above 10-ton excavator industry in 2026. Growth in Latin America is expected to continue in
2026 at a similar rate to 2025.</t>
  </si>
  <si>
    <t>Sales and revenues for 2025 were $67.589 billion, an increase of $2.780 billion, or 4 percent, compared with $64.809 billion for 2024. Sales were higher
in Power &amp; Energy, about flat in Resource Industries and slightly lower in Construction Industries.
• Operating profit as a percent of sales and revenues was 16.5 percent in 2025, compared with 20.2 percent in 2024. Adjusted operating profit margin
was 17.2 percent in 2025, compared with 20.7 percent in 2024.
• Profit per share for 2025 was $18.81, and excluding the items in the table below, adjusted profit per share was $19.06. Profit per share for 2024 was
$22.05, and excluding the items in the table below, adjusted profit per share was $21.90.
• Enterprise operating cash flow was $11.7 billion in 2025. Caterpillar ended 2025 with $10.0 billion of enterprise cash.</t>
  </si>
  <si>
    <t>CAT</t>
  </si>
  <si>
    <t>PepsiCo, Inc.</t>
  </si>
  <si>
    <t>Pep</t>
  </si>
  <si>
    <t>OUR FINANCIAL RESULTS</t>
  </si>
  <si>
    <t>Operating profit decreased 11%, primarily driven by certain operating cost increases, impairment charges related to the Rockstarbrand, a decline in organic volume, a 5-percentage-point impact of higher commodity costs and higher acquisition anddivestiture-related charges. These impacts were partially offset by productivity savings and effective net pricing. Additionally, afavorable impact of prior-year impairment and other charges associated with our TBG investment and receivables related to thesale of Tropicana, Naked and other select juice brands (Juice Transaction) and lower advertising and marketing expensescontributed to the decline.</t>
  </si>
  <si>
    <t>PEP</t>
  </si>
  <si>
    <t>UR FINANCIAL RESULTS</t>
  </si>
  <si>
    <t>In 2025, net cash used for financing activities was $5.0 billion, primarily reflecting the return of operating cash flow to ourshareholders through dividend payments and share repurchases of $8.6 billion, as well as payments of long-term debt borrowingsof $4.1 billion, partially offset by proceeds from the issuances of long-term debt of $8.2 billion.
In 2024, net cash used for financing activities was $7.6 billion, primarily reflecting the return of operating cash flow to ourshareholders through dividend payments and share repurchases of $8.2 billion, as well as payments of long-term debt borrowingsof $3.9 billion, partially offset by proceeds from the issuances of long-term debt of $4.0 billion.</t>
  </si>
  <si>
    <t>GENERAL MILLS, INC.</t>
  </si>
  <si>
    <t>GIS</t>
  </si>
  <si>
    <t>ITEM 7 - Management’s Discussion and Analysis of Financial Condition and Results of Operations</t>
  </si>
  <si>
    <t>In fiscal 2025, the operating environment was characterized by significant volatility and uncertainty, resulting in value-seeking
behaviors by consumers that were deeper and more prolonged than we expected. As a result, we made important changes to adapt to
the evolving environment and put our business on a path back to growth. We increased investment to bring consumers greater value,
which strengthened our pound volume performance as we exited the year. While the level of incremental investment resulted in fiscal
2025 financial results below our targeted ranges, we expect the improved pound volume and household penetration trends will
translate into stronger top- and bottom-line performance over the long term.</t>
  </si>
  <si>
    <t>Our consolidated net sales for fiscal 2025 declined 2 percent to $19.5 billion. On an organic basis, net sales decreased 2 percent
compared to year-ago levels. Operating profit of $3.3 billion decreased 4 percent. Adjusted operating profit of $3.4 billion decreased 7
percent on a constant-currency basis. Diluted EPS declined 5 percent to $4.10. Adjusted diluted EPS of $4.21 decreased 7 percent on
a constant-currency basis (See the “Non-GAAP Measures” section below for a description of our use of measures not defined by
generally accepted accounting principles (GAAP)).
Net cash provided by operations totaled $2,918 million in fiscal 2025 representing a conversion rate of 126 percent of net earnings,
including earnings attributable to noncontrolling interests. This cash generation supported capital investments totaling $625 million,
and our resulting free cash flow was $2,293 million at a conversion rate of 97 percent of adjusted net earnings, including earnings
attributable to noncontrolling interests. We returned cash to shareholders through dividends totaling $1,339 million and share
repurchases totaling $1,203 million (See the “Non-GAAP Measures” section below for a description of our use of measures not
defined by GAAP).</t>
  </si>
  <si>
    <t>Blackstone Inc.</t>
  </si>
  <si>
    <t>BX</t>
  </si>
  <si>
    <t>Global markets experienced volatility in 2024, due to significant movement in Treasury yields, a strong U.S. Dollar, global geopolitical
instability and macroeconomic uncertainty. The 10-year Treasury yield increased 86 basis points from the beginning of 2024 to an
intraday high of 4.74% in April, declined 114 basis points to an intraday low of 3.6% in September, and subsequently rose again to end the
year at 4.57%. Short-term rates decreased in 2024 with three-month SOFR down 103 basis points to 4.31%. The U.S. Dollar appreciated
against major currencies in the fourth quarter and full year, including the Pound Sterling, Euro, Canadian Dollar, and Indian Rupee.
Most major equity markets appreciated in the fourth quarter of 2024. The S&amp;P 500 delivered a total return of 2.0% in the fourth
quarter and 25.0% for the full year. All sectors gained during the year, led by the telecom sector, which rose 40.2%. In credit markets, the
S&amp;P leveraged loan index increased 9.0% in 2024 while the Credit Suisse high yield bond index rose 7.9%. High yield spreads tightened 57
basis points in 2024, while issuance increased 64% year-over-year. Base rates were volatile during the year. Equity market volatility
increased, with the CBOE Volatility Index up 39% year-over-year.</t>
  </si>
  <si>
    <t xml:space="preserve">Revenues were $13.2 billion for the year ended December 31, 2024, an increase of $5.2 billion, compared to $8.0 billion for the year
ended December 31, 2023. The increase in Revenues was primarily attributable to an increase of $4.3 billion in Investment Income, which
was composed of increases of $3.0 billion in Unrealized Investment Income and $1.3 billion in Realized Investment Income.
The $3.0 billion increase in Unrealized Investment Income was primarily attributable to net unrealized appreciation of investments in
the year ended December 31, 2024, compared to the year ended December 31, 2023. </t>
  </si>
  <si>
    <t>Amgen Inc</t>
  </si>
  <si>
    <t>AMGN</t>
  </si>
  <si>
    <t xml:space="preserve">
For 2025, we expect volume growth from certain brands to be partially offset by net selling price declines. Further, the first quarter of a year historically represents the lowest product sales quarter for the year, in part due to plan changes, insurance reverifications and higher co-pay expenses as U.S. patients workthrough deductibles, particularly for products acquired through pharmacy benefit programs.
Uncertain macroeconomic conditions, changes in the healthcare ecosystem and geopolitical conflicts have the potential to introduce variability into product sales. Furthermore, product sales continue to be impacted by actions from governments and other entities to curb high inflation, provisions of the IRA,inappropriate expanded utilization of the 340B Program and growth in numbers of Medicaid enrollees and uninsured individuals.  
Other revenues increased for 2024, primarily driven by higher corporate partner revenue from licensed products and royalty income.</t>
  </si>
  <si>
    <t>Healthcare</t>
  </si>
  <si>
    <t>Total product sales increased in 2024, primarily driven by volume growth of 23%, partially offset by declines in net selling price of 2%. Product salesfrom acquired Horizon products contributed $4.2 billion in 2024 compared to $954 million in 2023, with volume growth from our other brands of 11%.
Cash flows from operating activities in 2024 totaled $11.5 billion, which supported investment in our business, including capital expenditures of $1.1billion to enhance and expand our manufacturing network, and allowed us to both reduce our debt outstanding and return capital to shareholders through thepayment of cash dividends. For 2024, we increased our quarterly cash dividend by 6% to $2.25 per share of common stock. In December 2024, the Board of Directors declared a cash dividend of $2.38 per share of common stock for the first quarter of 2025, an increase of 6% over the same period in the prior year, to be paid in March 2025.</t>
  </si>
  <si>
    <t>HORMEL FOODS CORPORATION</t>
  </si>
  <si>
    <t>HRL</t>
  </si>
  <si>
    <t>Item 7. MANAGEMENT’S DISCUSSION AND ANALYSIS OF FINANCIAL CONDITION AND
RESULTS OF OPERATIONS</t>
  </si>
  <si>
    <t xml:space="preserve">In fiscal 2025, the Company experienced persistent input cost inflation, primarily related to commodity markets, which
significantly pressured earnings. Pork belly, beef, and nut input costs caused the most earnings pressure during the year.
The Company continued to support its strategic programs during fiscal 2025, including its multi-year Transform and Modernize
(T&amp;M) initiative. The Company made meaningful progress on the initiative, which is expected to deliver long-term value to the
organization. The Company also recognized expenses associated with a corporate restructuring plan designed to reduce
administrative expenses, improve efficiencies, and align its workforce to the Company’s future needs, while enabling continued
investment in the Company’s growth.
</t>
  </si>
  <si>
    <t>The Company believes fiscal 2025 was a challenging year, as strong net sales performance did not translate into
net earnings growth. Net sales totaled $12.1 billion, an increase of 2 percent compared to the prior year. Growth was driven by
all three segments, and the Company delivered four consecutive quarters of net sales gains.
Net earnings decreased 41 percent compared to the prior year due to the above factors and a higher effective tax rate primarily
driven by impairment charges. Adjusted net earnings declined 13 percent. Diluted earnings per share and adjusted diluted
earnings per share for fiscal 2025 were $0.87 and $1.37, respectively, compared to $1.47 and $1.58 in the prior year.</t>
  </si>
  <si>
    <t>Alphabet Inc.</t>
  </si>
  <si>
    <t>goog</t>
  </si>
  <si>
    <t>Revenues were $402.8 billion, an increase of 15% year over year, primarily driven by an increase in Google Services revenues of $37.8 billion, or 12%, and an increase in Google Cloud revenues of $15.5 billion, or 36%.
Cost of revenues was $162.5 billion, an increase of 11% year over year, primarily driven by increases in TAC, content acquisition costs, and depreciation expense.
Operating expenses were $111.3 billion, an increase of 22% year over year, primarily driven by increases in employee compensation expenses, expenses related to legal and other matters, and depreciation expense.
Cost of revenues increased $16.2 billion from 2024 to 2025 due to an increase in other cost of revenues and TAC of $11.2 billion and $5.0 billion, respectively.</t>
  </si>
  <si>
    <t>The increase in TAC from 2024 to 2025 was largely due to an increase in TAC paid to distribution partners, primarily driven by growth in revenues subject to TAC. The TAC rate decreased from 20.7% to 20.3% from 2024 to 2025, primarily due to a revenue mix shift from Google Network properties to Google Search &amp; other properties. The
TAC rates on Google Search &amp; other and Google Network revenues were substantially consistent from 2024 to 2025. The increase in other cost of revenues from 2024 to 2025 was primarily due to increases in content acquisition costs, largely for YouTube, depreciation expense, and other technical infrastructure operations costs.</t>
  </si>
  <si>
    <t>consumer</t>
  </si>
  <si>
    <t>industrial</t>
  </si>
  <si>
    <t>ABT</t>
  </si>
  <si>
    <t xml:space="preserve">AOS </t>
  </si>
  <si>
    <t>A.O. Smith</t>
  </si>
  <si>
    <t>MRK</t>
  </si>
  <si>
    <t>KO</t>
  </si>
  <si>
    <t>KMB</t>
  </si>
  <si>
    <t>kO</t>
  </si>
  <si>
    <t>HD</t>
  </si>
  <si>
    <t>AMZN</t>
  </si>
  <si>
    <t>AKAM</t>
  </si>
  <si>
    <t>Akamai Technologies, Inc.</t>
  </si>
  <si>
    <t>Microsoft</t>
  </si>
  <si>
    <t>Instruments classified in level 3 of the fair value hierarchy are
those which require one or more significant inputs that are
not observable. Level 3 financial assets represented 1.2% as
of December 2024 and 1.5% as of December 2023 of our total
assets. See Notes 4 and 5 to the consolidated financial
statements for further information about level 3 financial
assets, including changes in level 3 financial assets and related
fair value measurements. Absent evidence to the contrary,
instruments classified in level 3 of the fair value hierarchy are
initially valued at transaction price, which is considered to be
the best initial estimate of fair value. Subsequent to the
transaction date, we use other methodologies to determine
fair value, which vary based on the type of instrument.
Estimating the fair value of level 3 financial instruments
requires judgments to be made.</t>
  </si>
  <si>
    <t>Refining &amp; Marketing segment adjusted EBITDA is also affected by changes in refining operating costs in addition to committed distribution costs. Changes in operating costs are primarily driven by the cost of energy used by our refineries, including purchased natural gas, and the level of maintenance costs. Distribution
costs primarily include long-term agreements with MPLX, which as discussed below include minimum commitments to MPLX, and will negatively impact segment adjusted EBITDA in periods when throughput or sales are lower or refineries are idled.</t>
  </si>
  <si>
    <t>Research and development costs are expensed as incurred, other than certain internal-use software development costs
eligible for capitalization. Capitalized development costs consist of payroll and related costs for personnel and external
consulting expenses involved in the development of internal-use software used to deliver our services and operate our network.
For the years ended December 31, 2025, 2024 and 2023, we capitalized $114.8 million, $99.6 million and $77.0 million,
respectively, of stock-based compensation. These capitalized internal-use software development costs are amortized to cost of
revenue over their estimated useful lives, ranging from two to ten years based on the software developed and its expected useful
life.
We expect our research and development costs to increase in 2026, in particular payroll and related costs, including stockbased
compensation, in support of our faster growing security and cloud computing solutions. We also expect stock-based
compensation to increase in 2026 as a result of a new stock-based retirement program effective in 2026. However, we plan to
continue to carefully manage costs in an effort to manage our operating margins.</t>
  </si>
  <si>
    <t>One of management's key strategies is to maintain a strong balance sheet with a consistently below average debt-tototal
capitalization ratio as compared to those in EOG's peer group. EOG's debt-to-total capitalization ratio was 21% at
December 31, 2025 and 14% at December 31, 2024. As used in this calculation, total capitalization represents the sum of total
current and long-term debt and total stockholders' equity. Management believes that EOG has one of the strongest prospect inventories in EOG's history. When it fits EOG's
strategy, EOG will make acquisitions that bolster existing drilling programs or offer incremental exploration and/or production
opportunities.</t>
  </si>
  <si>
    <t>Microsoft 365 Commercial products and cloud services revenue increased $10.8 billion or 14%. Microsoft 365 Commercial cloud revenue grew 15% with Microsoft 365 Commercial seat growth of 6% driven by small and medium businesses and frontline worker offerings, as well as growth in revenue per user. Microsoft 365 Commercial products revenue grew 7% driven by the Windows Commercial on-premises components of Microsoft 365 suite sales and an increase in Office transactional purchasing with the launch of Office 2024.
• Microsoft 365 Consumer products and cloud services revenue increased $756 million or 11%. Microsoft 365 Consumer cloud revenue grew 11% driven by Microsoft 365 Consumer subscriber growth of 8% to 89.0 million, as well as growth in revenue per user from the price increase announced in January 2025.
LinkedIn revenue increased $1.4 billion or 9% with growth across all lines of business.
Dynamics products and cloud services revenue increased $996 million or 15% driven by growth in Dynamics 365, offset in part by a decline in Dynamics on-premises products. Dynamics 365 revenue grew 19% with growth across all workloads.
Operating income increased $10.1 billion or 17%.
Cost of revenue increased $2.8 billion or 14% driven by growth in Microsoft 365 Commercial cloud.
Gross margin increased $11.2 billion or 13% driven by growth in Microsoft 365 Commercial cloud. Gross margin percentage decreased slightly primarily driven by the impact of scaling our AI infrastructure, offset in part by efficiency gains in Microsoft 365 Commercial cloud.
Operating expenses increased $1.1 billion or 4% driven by investments in cloud and AI engineering and commercial sales.</t>
  </si>
  <si>
    <t>The decrease from the federal statutory rate in fiscal years 2025, 2024, and 2023 is primarily due to earnings taxed at lower rates in foreign jurisdictions resulting from producing and distributing our products and services through our foreign regional operations center in Ireland. In fiscal years 2025, 2024, and 2023, our foreign regional operating center in Ireland, which is taxed at a rate lower than the U.S. rate, generated 81%, 83%, and 81% of our foreign income before tax. Other reconciling items, net consists primarily of tax credits and the U.S. global intangible low-taxed income tax, and in fiscal year 2024,
includes tax benefits from tax law changes. In fiscal year 2024, tax benefits from tax law changes primarily relate to the delay of the effective date of final foreign tax credit regulations. In fiscal years 2025, 2024, and 2023, there were no individually significant other reconciling items.
The decrease in our effective tax rate for fiscal year 2025 compared to fiscal year 2024 was due to changes in the mix of our earnings and tax expenses between the U.S. and foreign countries. The decrease in our effective tax rate for fiscal year 2024 compared to fiscal year 2023 was primarily due to tax benefits from tax law changes, including the delay of the effective date of final foreign tax credit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</si>
</sst>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amily val="2"/>
    </font>
    <font>
      <i/>
      <sz val="9"/>
      <color rgb="FF7F7F7F"/>
      <name val="Calibri"/>
      <family val="2"/>
    </font>
    <font>
      <b/>
      <sz val="9"/>
      <color rgb="FFFFFFFF"/>
      <name val="Calibri"/>
      <family val="2"/>
    </font>
    <font>
      <sz val="9"/>
      <name val="Calibri"/>
      <family val="2"/>
    </font>
    <font>
      <b/>
      <sz val="13"/>
      <color rgb="FFFFFFFF"/>
      <name val="Calibri"/>
      <family val="2"/>
    </font>
    <font>
      <b/>
      <sz val="10"/>
      <color rgb="FFFFFFFF"/>
      <name val="Calibri"/>
      <family val="2"/>
    </font>
    <font>
      <sz val="10"/>
      <name val="Calibri"/>
      <family val="2"/>
    </font>
    <font>
      <b/>
      <sz val="10"/>
      <name val="Calibri"/>
      <family val="2"/>
    </font>
    <font>
      <sz val="9"/>
      <color rgb="FF595959"/>
      <name val="Calibri"/>
      <family val="2"/>
    </font>
    <font>
      <b/>
      <sz val="12"/>
      <color rgb="FFFFFFFF"/>
      <name val="Calibri"/>
      <family val="2"/>
    </font>
    <font>
      <sz val="11"/>
      <name val="Calibri"/>
      <family val="2"/>
    </font>
  </fonts>
  <fills count="7">
    <fill>
      <patternFill patternType="none"/>
    </fill>
    <fill>
      <patternFill patternType="gray125"/>
    </fill>
    <fill>
      <patternFill patternType="solid">
        <fgColor rgb="FF1F4E79"/>
      </patternFill>
    </fill>
    <fill>
      <patternFill patternType="solid">
        <fgColor rgb="FFFFF2CC"/>
      </patternFill>
    </fill>
    <fill>
      <patternFill patternType="solid">
        <fgColor rgb="FFDDEEFF"/>
      </patternFill>
    </fill>
    <fill>
      <patternFill patternType="solid">
        <fgColor rgb="FFDFFFDF"/>
      </patternFill>
    </fill>
    <fill>
      <patternFill patternType="solid">
        <fgColor rgb="FF2E75B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6" fillId="6" borderId="1" xfId="0" applyFont="1" applyFill="1" applyBorder="1" applyAlignment="1">
      <alignment horizontal="center"/>
    </xf>
    <xf numFmtId="0" fontId="7" fillId="0" borderId="1" xfId="0" applyFont="1" applyBorder="1" applyAlignment="1">
      <alignment horizontal="center"/>
    </xf>
    <xf numFmtId="9" fontId="7" fillId="0" borderId="1" xfId="0" applyNumberFormat="1" applyFont="1" applyBorder="1" applyAlignment="1">
      <alignment horizontal="center"/>
    </xf>
    <xf numFmtId="0" fontId="8" fillId="0" borderId="0" xfId="0" applyFont="1"/>
    <xf numFmtId="0" fontId="4" fillId="0" borderId="1" xfId="0" applyFont="1" applyBorder="1"/>
    <xf numFmtId="0" fontId="11" fillId="0" borderId="1" xfId="0" applyFont="1" applyBorder="1"/>
    <xf numFmtId="14" fontId="4" fillId="5" borderId="1" xfId="0" applyNumberFormat="1" applyFont="1" applyFill="1" applyBorder="1" applyAlignment="1">
      <alignment vertical="center" wrapText="1"/>
    </xf>
    <xf numFmtId="14" fontId="4" fillId="4" borderId="1" xfId="0" applyNumberFormat="1" applyFont="1" applyFill="1" applyBorder="1" applyAlignment="1">
      <alignment vertical="center"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9" fillId="0" borderId="1" xfId="0" applyFont="1" applyBorder="1"/>
    <xf numFmtId="0" fontId="5" fillId="2" borderId="0" xfId="0" applyFont="1" applyFill="1" applyAlignment="1">
      <alignment horizontal="center" vertical="center"/>
    </xf>
    <xf numFmtId="0" fontId="6" fillId="6" borderId="0" xfId="0" applyFont="1" applyFill="1" applyAlignment="1">
      <alignment horizontal="left"/>
    </xf>
    <xf numFmtId="0" fontId="4" fillId="0" borderId="1" xfId="0" applyFont="1" applyBorder="1" applyAlignment="1">
      <alignment vertical="center" wrapText="1"/>
    </xf>
    <xf numFmtId="0" fontId="0" fillId="0" borderId="1" xfId="0" applyBorder="1"/>
    <xf numFmtId="0" fontId="10"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
  <sheetViews>
    <sheetView tabSelected="1" zoomScale="186" zoomScaleNormal="186" workbookViewId="0">
      <pane xSplit="2" ySplit="3" topLeftCell="G29" activePane="bottomRight" state="frozen"/>
      <selection pane="topRight"/>
      <selection pane="bottomLeft"/>
      <selection pane="bottomRight" activeCell="I31" sqref="I31"/>
    </sheetView>
  </sheetViews>
  <sheetFormatPr baseColWidth="10" defaultColWidth="8.83203125" defaultRowHeight="15" x14ac:dyDescent="0.2"/>
  <cols>
    <col min="1" max="1" width="16" customWidth="1"/>
    <col min="2" max="2" width="10" customWidth="1"/>
    <col min="3" max="3" width="20" customWidth="1"/>
    <col min="4" max="4" width="10" customWidth="1"/>
    <col min="5" max="5" width="14" customWidth="1"/>
    <col min="6" max="6" width="27" customWidth="1"/>
    <col min="7" max="7" width="13" customWidth="1"/>
    <col min="8" max="8" width="18" customWidth="1"/>
    <col min="9" max="9" width="30" customWidth="1"/>
    <col min="10" max="10" width="82.33203125" customWidth="1"/>
    <col min="11" max="11" width="8" customWidth="1"/>
    <col min="12" max="12" width="45" customWidth="1"/>
    <col min="13" max="13" width="8" customWidth="1"/>
    <col min="14" max="14" width="22" customWidth="1"/>
    <col min="15" max="16" width="12" customWidth="1"/>
    <col min="17" max="17" width="10" customWidth="1"/>
    <col min="18" max="18" width="20" customWidth="1"/>
  </cols>
  <sheetData>
    <row r="1" spans="1:18" ht="30" customHeight="1" x14ac:dyDescent="0.2">
      <c r="A1" s="14" t="s">
        <v>0</v>
      </c>
      <c r="B1" s="13"/>
      <c r="C1" s="13"/>
      <c r="D1" s="13"/>
      <c r="E1" s="13"/>
      <c r="F1" s="13"/>
      <c r="G1" s="13"/>
      <c r="H1" s="13"/>
      <c r="I1" s="13"/>
      <c r="J1" s="13"/>
      <c r="K1" s="13"/>
      <c r="L1" s="13"/>
      <c r="M1" s="13"/>
      <c r="N1" s="13"/>
      <c r="O1" s="13"/>
      <c r="P1" s="13"/>
      <c r="Q1" s="13"/>
      <c r="R1" s="13"/>
    </row>
    <row r="2" spans="1:18" ht="28" customHeight="1" x14ac:dyDescent="0.2">
      <c r="A2" s="12" t="s">
        <v>1</v>
      </c>
      <c r="B2" s="13"/>
      <c r="C2" s="13"/>
      <c r="D2" s="13"/>
      <c r="E2" s="13"/>
      <c r="F2" s="13"/>
      <c r="G2" s="13"/>
      <c r="H2" s="13"/>
      <c r="I2" s="13"/>
      <c r="J2" s="13"/>
      <c r="K2" s="13"/>
      <c r="L2" s="13"/>
      <c r="M2" s="13"/>
      <c r="N2" s="13"/>
      <c r="O2" s="13"/>
      <c r="P2" s="13"/>
      <c r="Q2" s="13"/>
      <c r="R2" s="13"/>
    </row>
    <row r="3" spans="1:18" ht="36" customHeight="1" x14ac:dyDescent="0.2">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row>
    <row r="4" spans="1:18" ht="232" customHeight="1" x14ac:dyDescent="0.2">
      <c r="A4" s="2" t="s">
        <v>52</v>
      </c>
      <c r="B4" s="2" t="s">
        <v>53</v>
      </c>
      <c r="C4" s="2" t="s">
        <v>126</v>
      </c>
      <c r="D4" s="2" t="s">
        <v>130</v>
      </c>
      <c r="E4" s="2" t="s">
        <v>129</v>
      </c>
      <c r="F4" s="2">
        <v>2023</v>
      </c>
      <c r="G4" s="2"/>
      <c r="H4" s="2" t="s">
        <v>127</v>
      </c>
      <c r="I4" s="2"/>
      <c r="J4" s="2" t="s">
        <v>131</v>
      </c>
      <c r="K4" s="2">
        <f t="shared" ref="K4:K35" si="0">IF(J4&lt;&gt;"",LEN(J4)-LEN(SUBSTITUTE(J4," ",""))+1,"")</f>
        <v>239</v>
      </c>
      <c r="L4" s="2"/>
      <c r="M4" s="2" t="str">
        <f t="shared" ref="M4:M35" si="1">IF(L4&lt;&gt;"",LEN(L4)-LEN(SUBSTITUTE(L4," ",""))+1,"")</f>
        <v/>
      </c>
      <c r="N4" s="2"/>
      <c r="O4" s="2" t="s">
        <v>22</v>
      </c>
      <c r="P4" s="2"/>
      <c r="Q4" s="2"/>
      <c r="R4" s="2"/>
    </row>
    <row r="5" spans="1:18" ht="164" customHeight="1" x14ac:dyDescent="0.2">
      <c r="A5" s="2" t="s">
        <v>54</v>
      </c>
      <c r="B5" s="2" t="s">
        <v>53</v>
      </c>
      <c r="C5" s="2" t="s">
        <v>281</v>
      </c>
      <c r="D5" s="2" t="s">
        <v>134</v>
      </c>
      <c r="E5" s="2" t="s">
        <v>129</v>
      </c>
      <c r="F5" s="2">
        <v>2025</v>
      </c>
      <c r="G5" s="2"/>
      <c r="H5" s="2" t="s">
        <v>133</v>
      </c>
      <c r="I5" s="2"/>
      <c r="J5" s="2" t="s">
        <v>286</v>
      </c>
      <c r="K5" s="2">
        <f t="shared" si="0"/>
        <v>253</v>
      </c>
      <c r="L5" s="2"/>
      <c r="M5" s="2" t="str">
        <f t="shared" si="1"/>
        <v/>
      </c>
      <c r="N5" s="2"/>
      <c r="O5" s="2" t="s">
        <v>22</v>
      </c>
      <c r="P5" s="2"/>
      <c r="Q5" s="2"/>
      <c r="R5" s="2"/>
    </row>
    <row r="6" spans="1:18" ht="188" customHeight="1" x14ac:dyDescent="0.2">
      <c r="A6" s="2" t="s">
        <v>55</v>
      </c>
      <c r="B6" s="2" t="s">
        <v>53</v>
      </c>
      <c r="C6" s="2" t="s">
        <v>138</v>
      </c>
      <c r="D6" s="2" t="s">
        <v>138</v>
      </c>
      <c r="E6" s="2" t="s">
        <v>129</v>
      </c>
      <c r="F6" s="2">
        <v>2023</v>
      </c>
      <c r="G6" s="2"/>
      <c r="H6" s="2" t="s">
        <v>136</v>
      </c>
      <c r="I6" s="2"/>
      <c r="J6" s="2" t="s">
        <v>137</v>
      </c>
      <c r="K6" s="2">
        <f t="shared" si="0"/>
        <v>278</v>
      </c>
      <c r="L6" s="2"/>
      <c r="M6" s="2" t="str">
        <f t="shared" si="1"/>
        <v/>
      </c>
      <c r="N6" s="2"/>
      <c r="O6" s="2" t="s">
        <v>22</v>
      </c>
      <c r="P6" s="2"/>
      <c r="Q6" s="2"/>
      <c r="R6" s="2"/>
    </row>
    <row r="7" spans="1:18" ht="144" customHeight="1" x14ac:dyDescent="0.2">
      <c r="A7" s="2" t="s">
        <v>56</v>
      </c>
      <c r="B7" s="2" t="s">
        <v>53</v>
      </c>
      <c r="C7" s="2" t="s">
        <v>280</v>
      </c>
      <c r="D7" s="2" t="s">
        <v>279</v>
      </c>
      <c r="E7" s="2" t="s">
        <v>129</v>
      </c>
      <c r="F7" s="2">
        <v>2025</v>
      </c>
      <c r="G7" s="2"/>
      <c r="H7" s="2" t="s">
        <v>132</v>
      </c>
      <c r="I7" s="2"/>
      <c r="J7" s="2" t="s">
        <v>284</v>
      </c>
      <c r="K7" s="2">
        <f t="shared" si="0"/>
        <v>164</v>
      </c>
      <c r="L7" s="2"/>
      <c r="M7" s="2" t="str">
        <f t="shared" si="1"/>
        <v/>
      </c>
      <c r="N7" s="2"/>
      <c r="O7" s="2" t="s">
        <v>22</v>
      </c>
      <c r="P7" s="2"/>
      <c r="Q7" s="2"/>
      <c r="R7" s="2"/>
    </row>
    <row r="8" spans="1:18" ht="140" customHeight="1" x14ac:dyDescent="0.2">
      <c r="A8" s="2" t="s">
        <v>57</v>
      </c>
      <c r="B8" s="2" t="s">
        <v>53</v>
      </c>
      <c r="C8" s="2" t="s">
        <v>142</v>
      </c>
      <c r="D8" s="2" t="s">
        <v>278</v>
      </c>
      <c r="E8" s="2" t="s">
        <v>268</v>
      </c>
      <c r="F8" s="2">
        <v>2025</v>
      </c>
      <c r="G8" s="2"/>
      <c r="H8" s="2" t="s">
        <v>132</v>
      </c>
      <c r="I8" s="2"/>
      <c r="J8" s="2" t="s">
        <v>143</v>
      </c>
      <c r="K8" s="2">
        <f t="shared" si="0"/>
        <v>109</v>
      </c>
      <c r="L8" s="2"/>
      <c r="M8" s="2" t="str">
        <f t="shared" si="1"/>
        <v/>
      </c>
      <c r="N8" s="2"/>
      <c r="O8" s="2" t="s">
        <v>22</v>
      </c>
      <c r="P8" s="2"/>
      <c r="Q8" s="2"/>
      <c r="R8" s="2"/>
    </row>
    <row r="9" spans="1:18" ht="206" customHeight="1" x14ac:dyDescent="0.2">
      <c r="A9" s="2" t="s">
        <v>58</v>
      </c>
      <c r="B9" s="2" t="s">
        <v>53</v>
      </c>
      <c r="C9" s="2" t="s">
        <v>144</v>
      </c>
      <c r="D9" s="2" t="s">
        <v>271</v>
      </c>
      <c r="E9" s="2" t="s">
        <v>269</v>
      </c>
      <c r="F9" s="2"/>
      <c r="G9" s="2"/>
      <c r="H9" s="2" t="s">
        <v>132</v>
      </c>
      <c r="I9" s="2"/>
      <c r="J9" s="2" t="s">
        <v>147</v>
      </c>
      <c r="K9" s="2">
        <f t="shared" si="0"/>
        <v>196</v>
      </c>
      <c r="L9" s="2"/>
      <c r="M9" s="2" t="str">
        <f t="shared" si="1"/>
        <v/>
      </c>
      <c r="N9" s="2"/>
      <c r="O9" s="2" t="s">
        <v>22</v>
      </c>
      <c r="P9" s="2"/>
      <c r="Q9" s="2"/>
      <c r="R9" s="2"/>
    </row>
    <row r="10" spans="1:18" ht="153" customHeight="1" x14ac:dyDescent="0.2">
      <c r="A10" s="2" t="s">
        <v>59</v>
      </c>
      <c r="B10" s="2" t="s">
        <v>53</v>
      </c>
      <c r="C10" s="2" t="s">
        <v>148</v>
      </c>
      <c r="D10" s="2" t="s">
        <v>270</v>
      </c>
      <c r="E10" s="2" t="s">
        <v>257</v>
      </c>
      <c r="F10" s="2">
        <v>2023</v>
      </c>
      <c r="G10" s="2"/>
      <c r="H10" s="2" t="s">
        <v>149</v>
      </c>
      <c r="I10" s="2"/>
      <c r="J10" s="2" t="s">
        <v>150</v>
      </c>
      <c r="K10" s="2">
        <f t="shared" si="0"/>
        <v>287</v>
      </c>
      <c r="L10" s="2"/>
      <c r="M10" s="2" t="str">
        <f t="shared" si="1"/>
        <v/>
      </c>
      <c r="N10" s="2"/>
      <c r="O10" s="2" t="s">
        <v>22</v>
      </c>
      <c r="P10" s="2"/>
      <c r="Q10" s="2"/>
      <c r="R10" s="2"/>
    </row>
    <row r="11" spans="1:18" ht="150" customHeight="1" x14ac:dyDescent="0.2">
      <c r="A11" s="2" t="s">
        <v>60</v>
      </c>
      <c r="B11" s="2" t="s">
        <v>53</v>
      </c>
      <c r="C11" s="2" t="s">
        <v>154</v>
      </c>
      <c r="D11" s="2" t="s">
        <v>273</v>
      </c>
      <c r="E11" s="2" t="s">
        <v>257</v>
      </c>
      <c r="F11" s="2"/>
      <c r="G11" s="2"/>
      <c r="H11" s="2" t="s">
        <v>156</v>
      </c>
      <c r="I11" s="2"/>
      <c r="J11" s="2" t="s">
        <v>155</v>
      </c>
      <c r="K11" s="2">
        <f t="shared" si="0"/>
        <v>274</v>
      </c>
      <c r="L11" s="2"/>
      <c r="M11" s="2" t="str">
        <f t="shared" si="1"/>
        <v/>
      </c>
      <c r="N11" s="2"/>
      <c r="O11" s="2" t="s">
        <v>22</v>
      </c>
      <c r="P11" s="2"/>
      <c r="Q11" s="2"/>
      <c r="R11" s="2"/>
    </row>
    <row r="12" spans="1:18" ht="164" customHeight="1" x14ac:dyDescent="0.2">
      <c r="A12" s="2" t="s">
        <v>61</v>
      </c>
      <c r="B12" s="2" t="s">
        <v>53</v>
      </c>
      <c r="C12" s="2" t="s">
        <v>158</v>
      </c>
      <c r="D12" s="2" t="s">
        <v>277</v>
      </c>
      <c r="E12" s="2" t="s">
        <v>268</v>
      </c>
      <c r="F12" s="2">
        <v>2024</v>
      </c>
      <c r="G12" s="2"/>
      <c r="H12" s="2" t="s">
        <v>159</v>
      </c>
      <c r="I12" s="2"/>
      <c r="J12" s="2" t="s">
        <v>157</v>
      </c>
      <c r="K12" s="2">
        <f t="shared" si="0"/>
        <v>285</v>
      </c>
      <c r="L12" s="2"/>
      <c r="M12" s="2" t="str">
        <f t="shared" si="1"/>
        <v/>
      </c>
      <c r="N12" s="2"/>
      <c r="O12" s="2" t="s">
        <v>22</v>
      </c>
      <c r="P12" s="2"/>
      <c r="Q12" s="2"/>
      <c r="R12" s="2"/>
    </row>
    <row r="13" spans="1:18" ht="194" customHeight="1" x14ac:dyDescent="0.2">
      <c r="A13" s="2" t="s">
        <v>62</v>
      </c>
      <c r="B13" s="2" t="s">
        <v>53</v>
      </c>
      <c r="C13" s="2" t="s">
        <v>162</v>
      </c>
      <c r="D13" s="2" t="s">
        <v>276</v>
      </c>
      <c r="E13" s="2" t="s">
        <v>268</v>
      </c>
      <c r="F13" s="2">
        <v>2024</v>
      </c>
      <c r="G13" s="2"/>
      <c r="H13" s="2" t="s">
        <v>163</v>
      </c>
      <c r="I13" s="2"/>
      <c r="J13" s="2" t="s">
        <v>161</v>
      </c>
      <c r="K13" s="2">
        <f t="shared" si="0"/>
        <v>174</v>
      </c>
      <c r="L13" s="2"/>
      <c r="M13" s="2" t="str">
        <f t="shared" si="1"/>
        <v/>
      </c>
      <c r="N13" s="2"/>
      <c r="O13" s="2" t="s">
        <v>22</v>
      </c>
      <c r="P13" s="2"/>
      <c r="Q13" s="2"/>
      <c r="R13" s="2"/>
    </row>
    <row r="14" spans="1:18" ht="127" customHeight="1" x14ac:dyDescent="0.2">
      <c r="A14" s="2" t="s">
        <v>63</v>
      </c>
      <c r="B14" s="2" t="s">
        <v>53</v>
      </c>
      <c r="C14" s="2" t="s">
        <v>166</v>
      </c>
      <c r="D14" s="2" t="s">
        <v>167</v>
      </c>
      <c r="E14" s="2" t="s">
        <v>268</v>
      </c>
      <c r="F14" s="2">
        <v>2024</v>
      </c>
      <c r="G14" s="11">
        <v>45701</v>
      </c>
      <c r="H14" s="2" t="s">
        <v>168</v>
      </c>
      <c r="I14" s="2"/>
      <c r="J14" s="2" t="s">
        <v>170</v>
      </c>
      <c r="K14" s="2">
        <f t="shared" si="0"/>
        <v>181</v>
      </c>
      <c r="L14" s="2"/>
      <c r="M14" s="2" t="str">
        <f t="shared" si="1"/>
        <v/>
      </c>
      <c r="N14" s="2"/>
      <c r="O14" s="2" t="s">
        <v>22</v>
      </c>
      <c r="P14" s="2"/>
      <c r="Q14" s="2"/>
      <c r="R14" s="2"/>
    </row>
    <row r="15" spans="1:18" ht="176" customHeight="1" x14ac:dyDescent="0.2">
      <c r="A15" s="2" t="s">
        <v>64</v>
      </c>
      <c r="B15" s="2" t="s">
        <v>53</v>
      </c>
      <c r="C15" s="2" t="s">
        <v>171</v>
      </c>
      <c r="D15" s="2" t="s">
        <v>172</v>
      </c>
      <c r="E15" s="2" t="s">
        <v>268</v>
      </c>
      <c r="F15" s="2">
        <v>2023</v>
      </c>
      <c r="G15" s="2"/>
      <c r="H15" s="2" t="s">
        <v>173</v>
      </c>
      <c r="I15" s="2"/>
      <c r="J15" s="2" t="s">
        <v>174</v>
      </c>
      <c r="K15" s="2">
        <f t="shared" si="0"/>
        <v>182</v>
      </c>
      <c r="L15" s="2"/>
      <c r="M15" s="2" t="str">
        <f t="shared" si="1"/>
        <v/>
      </c>
      <c r="N15" s="2"/>
      <c r="O15" s="2" t="s">
        <v>22</v>
      </c>
      <c r="P15" s="2"/>
      <c r="Q15" s="2"/>
      <c r="R15" s="2"/>
    </row>
    <row r="16" spans="1:18" ht="192" customHeight="1" x14ac:dyDescent="0.2">
      <c r="A16" s="2" t="s">
        <v>65</v>
      </c>
      <c r="B16" s="2" t="s">
        <v>53</v>
      </c>
      <c r="C16" s="2" t="s">
        <v>177</v>
      </c>
      <c r="D16" s="2" t="s">
        <v>178</v>
      </c>
      <c r="E16" s="2" t="s">
        <v>268</v>
      </c>
      <c r="F16" s="2">
        <v>2024</v>
      </c>
      <c r="G16" s="11">
        <v>45730</v>
      </c>
      <c r="H16" s="2" t="s">
        <v>179</v>
      </c>
      <c r="I16" s="2"/>
      <c r="J16" s="2" t="s">
        <v>180</v>
      </c>
      <c r="K16" s="2">
        <f t="shared" si="0"/>
        <v>150</v>
      </c>
      <c r="L16" s="2"/>
      <c r="M16" s="2" t="str">
        <f t="shared" si="1"/>
        <v/>
      </c>
      <c r="N16" s="2"/>
      <c r="O16" s="2" t="s">
        <v>22</v>
      </c>
      <c r="P16" s="2"/>
      <c r="Q16" s="2"/>
      <c r="R16" s="2"/>
    </row>
    <row r="17" spans="1:18" ht="170" customHeight="1" x14ac:dyDescent="0.2">
      <c r="A17" s="2" t="s">
        <v>66</v>
      </c>
      <c r="B17" s="2" t="s">
        <v>53</v>
      </c>
      <c r="C17" s="2" t="s">
        <v>182</v>
      </c>
      <c r="D17" s="2" t="s">
        <v>183</v>
      </c>
      <c r="E17" s="2" t="s">
        <v>184</v>
      </c>
      <c r="F17" s="2">
        <v>2025</v>
      </c>
      <c r="G17" s="2"/>
      <c r="H17" s="2" t="s">
        <v>179</v>
      </c>
      <c r="I17" s="2"/>
      <c r="J17" s="2" t="s">
        <v>186</v>
      </c>
      <c r="K17" s="2">
        <f t="shared" si="0"/>
        <v>146</v>
      </c>
      <c r="L17" s="2"/>
      <c r="M17" s="2" t="str">
        <f t="shared" si="1"/>
        <v/>
      </c>
      <c r="N17" s="2"/>
      <c r="O17" s="2" t="s">
        <v>22</v>
      </c>
      <c r="P17" s="2"/>
      <c r="Q17" s="2"/>
      <c r="R17" s="2"/>
    </row>
    <row r="18" spans="1:18" ht="169" customHeight="1" x14ac:dyDescent="0.2">
      <c r="A18" s="2" t="s">
        <v>67</v>
      </c>
      <c r="B18" s="2" t="s">
        <v>53</v>
      </c>
      <c r="C18" s="2" t="s">
        <v>187</v>
      </c>
      <c r="D18" s="2" t="s">
        <v>188</v>
      </c>
      <c r="E18" s="2" t="s">
        <v>184</v>
      </c>
      <c r="F18" s="2">
        <v>2024</v>
      </c>
      <c r="G18" s="11">
        <v>45707</v>
      </c>
      <c r="H18" s="2" t="s">
        <v>189</v>
      </c>
      <c r="I18" s="2"/>
      <c r="J18" s="2" t="s">
        <v>190</v>
      </c>
      <c r="K18" s="2">
        <f t="shared" si="0"/>
        <v>224</v>
      </c>
      <c r="L18" s="2"/>
      <c r="M18" s="2" t="str">
        <f t="shared" si="1"/>
        <v/>
      </c>
      <c r="N18" s="2"/>
      <c r="O18" s="2" t="s">
        <v>22</v>
      </c>
      <c r="P18" s="2"/>
      <c r="Q18" s="2"/>
      <c r="R18" s="2"/>
    </row>
    <row r="19" spans="1:18" ht="140" customHeight="1" x14ac:dyDescent="0.2">
      <c r="A19" s="2" t="s">
        <v>68</v>
      </c>
      <c r="B19" s="2" t="s">
        <v>53</v>
      </c>
      <c r="C19" s="2" t="s">
        <v>192</v>
      </c>
      <c r="D19" s="2" t="s">
        <v>193</v>
      </c>
      <c r="E19" s="2" t="s">
        <v>184</v>
      </c>
      <c r="F19" s="2">
        <v>2023</v>
      </c>
      <c r="G19" s="2"/>
      <c r="H19" s="2" t="s">
        <v>195</v>
      </c>
      <c r="I19" s="2"/>
      <c r="J19" s="2" t="s">
        <v>194</v>
      </c>
      <c r="K19" s="2">
        <f t="shared" si="0"/>
        <v>192</v>
      </c>
      <c r="L19" s="2"/>
      <c r="M19" s="2" t="str">
        <f t="shared" si="1"/>
        <v/>
      </c>
      <c r="N19" s="2"/>
      <c r="O19" s="2" t="s">
        <v>22</v>
      </c>
      <c r="P19" s="2"/>
      <c r="Q19" s="2"/>
      <c r="R19" s="2"/>
    </row>
    <row r="20" spans="1:18" ht="144" customHeight="1" x14ac:dyDescent="0.2">
      <c r="A20" s="2" t="s">
        <v>69</v>
      </c>
      <c r="B20" s="2" t="s">
        <v>53</v>
      </c>
      <c r="C20" s="2" t="s">
        <v>196</v>
      </c>
      <c r="D20" s="2" t="s">
        <v>197</v>
      </c>
      <c r="E20" s="2" t="s">
        <v>198</v>
      </c>
      <c r="F20" s="2">
        <v>2024</v>
      </c>
      <c r="G20" s="2"/>
      <c r="H20" s="2" t="s">
        <v>200</v>
      </c>
      <c r="I20" s="2"/>
      <c r="J20" s="2" t="s">
        <v>199</v>
      </c>
      <c r="K20" s="2">
        <f t="shared" si="0"/>
        <v>200</v>
      </c>
      <c r="L20" s="2"/>
      <c r="M20" s="2" t="str">
        <f t="shared" si="1"/>
        <v/>
      </c>
      <c r="N20" s="2"/>
      <c r="O20" s="2" t="s">
        <v>22</v>
      </c>
      <c r="P20" s="2"/>
      <c r="Q20" s="2"/>
      <c r="R20" s="2"/>
    </row>
    <row r="21" spans="1:18" ht="156" customHeight="1" x14ac:dyDescent="0.2">
      <c r="A21" s="2" t="s">
        <v>70</v>
      </c>
      <c r="B21" s="2" t="s">
        <v>53</v>
      </c>
      <c r="C21" s="2" t="s">
        <v>202</v>
      </c>
      <c r="D21" s="2" t="s">
        <v>203</v>
      </c>
      <c r="E21" s="2" t="s">
        <v>198</v>
      </c>
      <c r="F21" s="2">
        <v>2024</v>
      </c>
      <c r="G21" s="2"/>
      <c r="H21" s="2" t="s">
        <v>206</v>
      </c>
      <c r="I21" s="2"/>
      <c r="J21" s="2" t="s">
        <v>204</v>
      </c>
      <c r="K21" s="2">
        <f t="shared" si="0"/>
        <v>211</v>
      </c>
      <c r="L21" s="2"/>
      <c r="M21" s="2" t="str">
        <f t="shared" si="1"/>
        <v/>
      </c>
      <c r="N21" s="2"/>
      <c r="O21" s="2" t="s">
        <v>22</v>
      </c>
      <c r="P21" s="2"/>
      <c r="Q21" s="2"/>
      <c r="R21" s="2"/>
    </row>
    <row r="22" spans="1:18" ht="135" customHeight="1" x14ac:dyDescent="0.2">
      <c r="A22" s="2" t="s">
        <v>71</v>
      </c>
      <c r="B22" s="2" t="s">
        <v>53</v>
      </c>
      <c r="C22" s="2" t="s">
        <v>207</v>
      </c>
      <c r="D22" s="2" t="s">
        <v>208</v>
      </c>
      <c r="E22" s="2" t="s">
        <v>198</v>
      </c>
      <c r="F22" s="2">
        <v>2023</v>
      </c>
      <c r="G22" s="2"/>
      <c r="H22" s="2" t="s">
        <v>212</v>
      </c>
      <c r="I22" s="2"/>
      <c r="J22" s="2" t="s">
        <v>210</v>
      </c>
      <c r="K22" s="2">
        <f t="shared" si="0"/>
        <v>179</v>
      </c>
      <c r="L22" s="2"/>
      <c r="M22" s="2" t="str">
        <f t="shared" si="1"/>
        <v/>
      </c>
      <c r="N22" s="2"/>
      <c r="O22" s="2" t="s">
        <v>22</v>
      </c>
      <c r="P22" s="2"/>
      <c r="Q22" s="2"/>
      <c r="R22" s="2"/>
    </row>
    <row r="23" spans="1:18" ht="145" customHeight="1" x14ac:dyDescent="0.2">
      <c r="A23" s="2" t="s">
        <v>72</v>
      </c>
      <c r="B23" s="2" t="s">
        <v>53</v>
      </c>
      <c r="C23" s="2" t="s">
        <v>213</v>
      </c>
      <c r="D23" s="2" t="s">
        <v>214</v>
      </c>
      <c r="E23" s="2" t="s">
        <v>257</v>
      </c>
      <c r="F23" s="2">
        <v>2024</v>
      </c>
      <c r="G23" s="11">
        <v>45702</v>
      </c>
      <c r="H23" s="2" t="s">
        <v>168</v>
      </c>
      <c r="I23" s="2"/>
      <c r="J23" s="2" t="s">
        <v>215</v>
      </c>
      <c r="K23" s="2">
        <f t="shared" si="0"/>
        <v>212</v>
      </c>
      <c r="L23" s="2"/>
      <c r="M23" s="2" t="str">
        <f t="shared" si="1"/>
        <v/>
      </c>
      <c r="N23" s="2"/>
      <c r="O23" s="2" t="s">
        <v>22</v>
      </c>
      <c r="P23" s="2"/>
      <c r="Q23" s="2"/>
      <c r="R23" s="2"/>
    </row>
    <row r="24" spans="1:18" ht="135" customHeight="1" x14ac:dyDescent="0.2">
      <c r="A24" s="2" t="s">
        <v>73</v>
      </c>
      <c r="B24" s="2" t="s">
        <v>53</v>
      </c>
      <c r="C24" s="2" t="s">
        <v>217</v>
      </c>
      <c r="D24" s="2" t="s">
        <v>218</v>
      </c>
      <c r="E24" s="2" t="s">
        <v>269</v>
      </c>
      <c r="F24" s="2">
        <v>2025</v>
      </c>
      <c r="G24" s="11">
        <v>45971</v>
      </c>
      <c r="H24" s="2" t="s">
        <v>219</v>
      </c>
      <c r="I24" s="2"/>
      <c r="J24" s="2" t="s">
        <v>220</v>
      </c>
      <c r="K24" s="2">
        <f t="shared" si="0"/>
        <v>156</v>
      </c>
      <c r="L24" s="2"/>
      <c r="M24" s="2" t="str">
        <f t="shared" si="1"/>
        <v/>
      </c>
      <c r="N24" s="2"/>
      <c r="O24" s="2" t="s">
        <v>22</v>
      </c>
      <c r="P24" s="2"/>
      <c r="Q24" s="2"/>
      <c r="R24" s="2"/>
    </row>
    <row r="25" spans="1:18" ht="90" customHeight="1" x14ac:dyDescent="0.2">
      <c r="A25" s="2" t="s">
        <v>74</v>
      </c>
      <c r="B25" s="2" t="s">
        <v>53</v>
      </c>
      <c r="C25" s="2" t="s">
        <v>223</v>
      </c>
      <c r="D25" s="2" t="s">
        <v>224</v>
      </c>
      <c r="E25" s="2" t="s">
        <v>269</v>
      </c>
      <c r="F25" s="2">
        <v>2025</v>
      </c>
      <c r="G25" s="11">
        <v>45698</v>
      </c>
      <c r="H25" s="2" t="s">
        <v>185</v>
      </c>
      <c r="I25" s="2"/>
      <c r="J25" s="2" t="s">
        <v>225</v>
      </c>
      <c r="K25" s="2">
        <f t="shared" si="0"/>
        <v>168</v>
      </c>
      <c r="L25" s="2"/>
      <c r="M25" s="2" t="str">
        <f t="shared" si="1"/>
        <v/>
      </c>
      <c r="N25" s="2"/>
      <c r="O25" s="2" t="s">
        <v>22</v>
      </c>
      <c r="P25" s="2"/>
      <c r="Q25" s="2"/>
      <c r="R25" s="2"/>
    </row>
    <row r="26" spans="1:18" ht="114" customHeight="1" x14ac:dyDescent="0.2">
      <c r="A26" s="2" t="s">
        <v>75</v>
      </c>
      <c r="B26" s="2" t="s">
        <v>53</v>
      </c>
      <c r="C26" s="2" t="s">
        <v>229</v>
      </c>
      <c r="D26" s="2" t="s">
        <v>230</v>
      </c>
      <c r="E26" s="2" t="s">
        <v>129</v>
      </c>
      <c r="F26" s="2">
        <v>2025</v>
      </c>
      <c r="G26" s="2"/>
      <c r="H26" s="2" t="s">
        <v>232</v>
      </c>
      <c r="I26" s="2"/>
      <c r="J26" s="2" t="s">
        <v>227</v>
      </c>
      <c r="K26" s="2">
        <f t="shared" si="0"/>
        <v>329</v>
      </c>
      <c r="L26" s="2"/>
      <c r="M26" s="2" t="str">
        <f t="shared" si="1"/>
        <v/>
      </c>
      <c r="N26" s="2"/>
      <c r="O26" s="2" t="s">
        <v>22</v>
      </c>
      <c r="P26" s="2"/>
      <c r="Q26" s="2"/>
      <c r="R26" s="2"/>
    </row>
    <row r="27" spans="1:18" ht="126" customHeight="1" x14ac:dyDescent="0.2">
      <c r="A27" s="2" t="s">
        <v>76</v>
      </c>
      <c r="B27" s="2" t="s">
        <v>53</v>
      </c>
      <c r="C27" s="2" t="s">
        <v>233</v>
      </c>
      <c r="D27" s="2" t="s">
        <v>237</v>
      </c>
      <c r="E27" s="2" t="s">
        <v>269</v>
      </c>
      <c r="F27" s="2">
        <v>2025</v>
      </c>
      <c r="G27" s="2"/>
      <c r="H27" s="2" t="s">
        <v>156</v>
      </c>
      <c r="I27" s="2"/>
      <c r="J27" s="2" t="s">
        <v>236</v>
      </c>
      <c r="K27" s="2">
        <f t="shared" si="0"/>
        <v>132</v>
      </c>
      <c r="L27" s="2"/>
      <c r="M27" s="2" t="str">
        <f t="shared" si="1"/>
        <v/>
      </c>
      <c r="N27" s="2"/>
      <c r="O27" s="2" t="s">
        <v>22</v>
      </c>
      <c r="P27" s="2"/>
      <c r="Q27" s="2"/>
      <c r="R27" s="2"/>
    </row>
    <row r="28" spans="1:18" ht="98" customHeight="1" x14ac:dyDescent="0.2">
      <c r="A28" s="2" t="s">
        <v>77</v>
      </c>
      <c r="B28" s="2" t="s">
        <v>53</v>
      </c>
      <c r="C28" s="2" t="s">
        <v>238</v>
      </c>
      <c r="D28" s="2" t="s">
        <v>242</v>
      </c>
      <c r="E28" s="2" t="s">
        <v>268</v>
      </c>
      <c r="F28" s="2">
        <v>2025</v>
      </c>
      <c r="G28" s="11">
        <v>45691</v>
      </c>
      <c r="H28" s="2" t="s">
        <v>243</v>
      </c>
      <c r="I28" s="2"/>
      <c r="J28" s="2" t="s">
        <v>244</v>
      </c>
      <c r="K28" s="2">
        <f t="shared" si="0"/>
        <v>105</v>
      </c>
      <c r="L28" s="2"/>
      <c r="M28" s="2" t="str">
        <f t="shared" si="1"/>
        <v/>
      </c>
      <c r="N28" s="2"/>
      <c r="O28" s="2" t="s">
        <v>22</v>
      </c>
      <c r="P28" s="2"/>
      <c r="Q28" s="2"/>
      <c r="R28" s="2"/>
    </row>
    <row r="29" spans="1:18" ht="106" customHeight="1" x14ac:dyDescent="0.2">
      <c r="A29" s="2" t="s">
        <v>78</v>
      </c>
      <c r="B29" s="2" t="s">
        <v>53</v>
      </c>
      <c r="C29" s="2" t="s">
        <v>245</v>
      </c>
      <c r="D29" s="2" t="s">
        <v>246</v>
      </c>
      <c r="E29" s="2" t="s">
        <v>268</v>
      </c>
      <c r="F29" s="2">
        <v>2025</v>
      </c>
      <c r="G29" s="2"/>
      <c r="H29" s="2" t="s">
        <v>247</v>
      </c>
      <c r="I29" s="2"/>
      <c r="J29" s="2" t="s">
        <v>249</v>
      </c>
      <c r="K29" s="2">
        <f t="shared" si="0"/>
        <v>174</v>
      </c>
      <c r="L29" s="2"/>
      <c r="M29" s="2" t="str">
        <f t="shared" si="1"/>
        <v/>
      </c>
      <c r="N29" s="2"/>
      <c r="O29" s="2" t="s">
        <v>22</v>
      </c>
      <c r="P29" s="2"/>
      <c r="Q29" s="2"/>
      <c r="R29" s="2"/>
    </row>
    <row r="30" spans="1:18" ht="110" customHeight="1" x14ac:dyDescent="0.2">
      <c r="A30" s="2" t="s">
        <v>79</v>
      </c>
      <c r="B30" s="2" t="s">
        <v>53</v>
      </c>
      <c r="C30" s="2" t="s">
        <v>250</v>
      </c>
      <c r="D30" s="2" t="s">
        <v>251</v>
      </c>
      <c r="E30" s="2" t="s">
        <v>198</v>
      </c>
      <c r="F30" s="2">
        <v>2024</v>
      </c>
      <c r="G30" s="2"/>
      <c r="H30" s="2" t="s">
        <v>247</v>
      </c>
      <c r="I30" s="2"/>
      <c r="J30" s="2" t="s">
        <v>253</v>
      </c>
      <c r="K30" s="2">
        <f t="shared" si="0"/>
        <v>91</v>
      </c>
      <c r="L30" s="2"/>
      <c r="M30" s="2" t="str">
        <f t="shared" si="1"/>
        <v/>
      </c>
      <c r="N30" s="2"/>
      <c r="O30" s="2" t="s">
        <v>22</v>
      </c>
      <c r="P30" s="2"/>
      <c r="Q30" s="2"/>
      <c r="R30" s="2"/>
    </row>
    <row r="31" spans="1:18" ht="78" customHeight="1" x14ac:dyDescent="0.2">
      <c r="A31" s="2" t="s">
        <v>80</v>
      </c>
      <c r="B31" s="2" t="s">
        <v>53</v>
      </c>
      <c r="C31" s="2" t="s">
        <v>254</v>
      </c>
      <c r="D31" s="2" t="s">
        <v>255</v>
      </c>
      <c r="E31" s="2" t="s">
        <v>257</v>
      </c>
      <c r="F31" s="2">
        <v>2024</v>
      </c>
      <c r="G31" s="2"/>
      <c r="H31" s="2" t="s">
        <v>247</v>
      </c>
      <c r="I31" s="2"/>
      <c r="J31" s="2" t="s">
        <v>258</v>
      </c>
      <c r="K31" s="2">
        <f t="shared" si="0"/>
        <v>153</v>
      </c>
      <c r="L31" s="2"/>
      <c r="M31" s="2" t="str">
        <f t="shared" si="1"/>
        <v/>
      </c>
      <c r="N31" s="2"/>
      <c r="O31" s="2" t="s">
        <v>22</v>
      </c>
      <c r="P31" s="2"/>
      <c r="Q31" s="2"/>
      <c r="R31" s="2"/>
    </row>
    <row r="32" spans="1:18" ht="83" customHeight="1" x14ac:dyDescent="0.2">
      <c r="A32" s="2" t="s">
        <v>81</v>
      </c>
      <c r="B32" s="2" t="s">
        <v>53</v>
      </c>
      <c r="C32" s="2" t="s">
        <v>259</v>
      </c>
      <c r="D32" s="2" t="s">
        <v>260</v>
      </c>
      <c r="E32" s="2" t="s">
        <v>268</v>
      </c>
      <c r="F32" s="2">
        <v>2025</v>
      </c>
      <c r="G32" s="2"/>
      <c r="H32" s="2" t="s">
        <v>261</v>
      </c>
      <c r="I32" s="2"/>
      <c r="J32" s="2" t="s">
        <v>263</v>
      </c>
      <c r="K32" s="2">
        <f t="shared" si="0"/>
        <v>108</v>
      </c>
      <c r="L32" s="2"/>
      <c r="M32" s="2" t="str">
        <f t="shared" si="1"/>
        <v/>
      </c>
      <c r="N32" s="2"/>
      <c r="O32" s="2" t="s">
        <v>22</v>
      </c>
      <c r="P32" s="2"/>
      <c r="Q32" s="2"/>
      <c r="R32" s="2"/>
    </row>
    <row r="33" spans="1:18" ht="117" customHeight="1" x14ac:dyDescent="0.2">
      <c r="A33" s="2" t="s">
        <v>82</v>
      </c>
      <c r="B33" s="2" t="s">
        <v>53</v>
      </c>
      <c r="C33" s="2" t="s">
        <v>264</v>
      </c>
      <c r="D33" s="2" t="s">
        <v>265</v>
      </c>
      <c r="E33" s="2" t="s">
        <v>129</v>
      </c>
      <c r="F33" s="2">
        <v>2025</v>
      </c>
      <c r="G33" s="2"/>
      <c r="H33" s="2" t="s">
        <v>261</v>
      </c>
      <c r="I33" s="2"/>
      <c r="J33" s="2" t="s">
        <v>266</v>
      </c>
      <c r="K33" s="2">
        <f t="shared" si="0"/>
        <v>117</v>
      </c>
      <c r="L33" s="2"/>
      <c r="M33" s="2" t="str">
        <f t="shared" si="1"/>
        <v/>
      </c>
      <c r="N33" s="2"/>
      <c r="O33" s="2" t="s">
        <v>22</v>
      </c>
      <c r="P33" s="2"/>
      <c r="Q33" s="2"/>
      <c r="R33" s="2"/>
    </row>
    <row r="34" spans="1:18" ht="128" customHeight="1" x14ac:dyDescent="0.2">
      <c r="A34" s="3" t="s">
        <v>20</v>
      </c>
      <c r="B34" s="3" t="s">
        <v>21</v>
      </c>
      <c r="C34" s="3" t="s">
        <v>126</v>
      </c>
      <c r="D34" s="3" t="s">
        <v>130</v>
      </c>
      <c r="E34" s="3" t="s">
        <v>129</v>
      </c>
      <c r="F34" s="3">
        <v>2023</v>
      </c>
      <c r="G34" s="3"/>
      <c r="H34" s="3" t="s">
        <v>127</v>
      </c>
      <c r="I34" s="3"/>
      <c r="J34" s="3" t="s">
        <v>128</v>
      </c>
      <c r="K34" s="3">
        <f t="shared" si="0"/>
        <v>255</v>
      </c>
      <c r="L34" s="3"/>
      <c r="M34" s="3" t="str">
        <f t="shared" si="1"/>
        <v/>
      </c>
      <c r="N34" s="3"/>
      <c r="O34" s="3" t="s">
        <v>22</v>
      </c>
      <c r="P34" s="3"/>
      <c r="Q34" s="3"/>
      <c r="R34" s="3"/>
    </row>
    <row r="35" spans="1:18" ht="214" customHeight="1" x14ac:dyDescent="0.2">
      <c r="A35" s="3" t="s">
        <v>23</v>
      </c>
      <c r="B35" s="3" t="s">
        <v>21</v>
      </c>
      <c r="C35" s="3" t="s">
        <v>281</v>
      </c>
      <c r="D35" s="3" t="s">
        <v>134</v>
      </c>
      <c r="E35" s="3" t="s">
        <v>129</v>
      </c>
      <c r="F35" s="3">
        <v>2025</v>
      </c>
      <c r="G35" s="3"/>
      <c r="H35" s="3" t="s">
        <v>133</v>
      </c>
      <c r="I35" s="3"/>
      <c r="J35" s="3" t="s">
        <v>287</v>
      </c>
      <c r="K35" s="3">
        <f t="shared" si="0"/>
        <v>220</v>
      </c>
      <c r="L35" s="3"/>
      <c r="M35" s="3" t="str">
        <f t="shared" si="1"/>
        <v/>
      </c>
      <c r="N35" s="3"/>
      <c r="O35" s="3" t="s">
        <v>22</v>
      </c>
      <c r="P35" s="3"/>
      <c r="Q35" s="3"/>
      <c r="R35" s="3"/>
    </row>
    <row r="36" spans="1:18" ht="167" customHeight="1" x14ac:dyDescent="0.2">
      <c r="A36" s="3" t="s">
        <v>24</v>
      </c>
      <c r="B36" s="3" t="s">
        <v>21</v>
      </c>
      <c r="C36" s="3" t="s">
        <v>138</v>
      </c>
      <c r="D36" s="3" t="s">
        <v>138</v>
      </c>
      <c r="E36" s="3" t="s">
        <v>129</v>
      </c>
      <c r="F36" s="3">
        <v>2023</v>
      </c>
      <c r="G36" s="3"/>
      <c r="H36" s="3" t="s">
        <v>136</v>
      </c>
      <c r="I36" s="3"/>
      <c r="J36" s="3" t="s">
        <v>135</v>
      </c>
      <c r="K36" s="3">
        <f t="shared" ref="K36:K63" si="2">IF(J36&lt;&gt;"",LEN(J36)-LEN(SUBSTITUTE(J36," ",""))+1,"")</f>
        <v>275</v>
      </c>
      <c r="L36" s="3"/>
      <c r="M36" s="3" t="str">
        <f t="shared" ref="M36:M63" si="3">IF(L36&lt;&gt;"",LEN(L36)-LEN(SUBSTITUTE(L36," ",""))+1,"")</f>
        <v/>
      </c>
      <c r="N36" s="3"/>
      <c r="O36" s="3" t="s">
        <v>22</v>
      </c>
      <c r="P36" s="3"/>
      <c r="Q36" s="3"/>
      <c r="R36" s="3"/>
    </row>
    <row r="37" spans="1:18" ht="176" customHeight="1" x14ac:dyDescent="0.2">
      <c r="A37" s="3" t="s">
        <v>25</v>
      </c>
      <c r="B37" s="3" t="s">
        <v>21</v>
      </c>
      <c r="C37" s="3" t="s">
        <v>280</v>
      </c>
      <c r="D37" s="3" t="s">
        <v>140</v>
      </c>
      <c r="E37" s="3" t="s">
        <v>129</v>
      </c>
      <c r="F37" s="3">
        <v>2025</v>
      </c>
      <c r="G37" s="3"/>
      <c r="H37" s="3" t="s">
        <v>136</v>
      </c>
      <c r="I37" s="3"/>
      <c r="J37" s="3" t="s">
        <v>139</v>
      </c>
      <c r="K37" s="3">
        <f t="shared" si="2"/>
        <v>205</v>
      </c>
      <c r="L37" s="3"/>
      <c r="M37" s="3" t="str">
        <f t="shared" si="3"/>
        <v/>
      </c>
      <c r="N37" s="3"/>
      <c r="O37" s="3" t="s">
        <v>22</v>
      </c>
      <c r="P37" s="3"/>
      <c r="Q37" s="3"/>
      <c r="R37" s="3"/>
    </row>
    <row r="38" spans="1:18" ht="146" customHeight="1" x14ac:dyDescent="0.2">
      <c r="A38" s="3" t="s">
        <v>26</v>
      </c>
      <c r="B38" s="3" t="s">
        <v>21</v>
      </c>
      <c r="C38" s="3" t="s">
        <v>142</v>
      </c>
      <c r="D38" s="3" t="s">
        <v>142</v>
      </c>
      <c r="E38" s="3" t="s">
        <v>268</v>
      </c>
      <c r="F38" s="3">
        <v>2025</v>
      </c>
      <c r="G38" s="3"/>
      <c r="H38" s="3" t="s">
        <v>132</v>
      </c>
      <c r="I38" s="3"/>
      <c r="J38" s="3" t="s">
        <v>141</v>
      </c>
      <c r="K38" s="3">
        <f t="shared" si="2"/>
        <v>198</v>
      </c>
      <c r="L38" s="3"/>
      <c r="M38" s="3" t="str">
        <f t="shared" si="3"/>
        <v/>
      </c>
      <c r="N38" s="3"/>
      <c r="O38" s="3" t="s">
        <v>22</v>
      </c>
      <c r="P38" s="3"/>
      <c r="Q38" s="3"/>
      <c r="R38" s="3"/>
    </row>
    <row r="39" spans="1:18" ht="168" customHeight="1" x14ac:dyDescent="0.2">
      <c r="A39" s="3" t="s">
        <v>27</v>
      </c>
      <c r="B39" s="3" t="s">
        <v>21</v>
      </c>
      <c r="C39" s="3" t="s">
        <v>272</v>
      </c>
      <c r="D39" s="3" t="s">
        <v>271</v>
      </c>
      <c r="E39" s="3" t="s">
        <v>268</v>
      </c>
      <c r="F39" s="3">
        <v>2025</v>
      </c>
      <c r="G39" s="3"/>
      <c r="H39" s="3" t="s">
        <v>145</v>
      </c>
      <c r="I39" s="3"/>
      <c r="J39" s="3" t="s">
        <v>146</v>
      </c>
      <c r="K39" s="3">
        <f t="shared" si="2"/>
        <v>186</v>
      </c>
      <c r="L39" s="3"/>
      <c r="M39" s="3" t="str">
        <f t="shared" si="3"/>
        <v/>
      </c>
      <c r="N39" s="3"/>
      <c r="O39" s="3" t="s">
        <v>22</v>
      </c>
      <c r="P39" s="3"/>
      <c r="Q39" s="3"/>
      <c r="R39" s="3"/>
    </row>
    <row r="40" spans="1:18" ht="207" customHeight="1" x14ac:dyDescent="0.2">
      <c r="A40" s="3" t="s">
        <v>28</v>
      </c>
      <c r="B40" s="3" t="s">
        <v>21</v>
      </c>
      <c r="C40" s="3" t="s">
        <v>148</v>
      </c>
      <c r="D40" s="3" t="s">
        <v>270</v>
      </c>
      <c r="E40" s="3" t="s">
        <v>257</v>
      </c>
      <c r="F40" s="3">
        <v>2023</v>
      </c>
      <c r="G40" s="3"/>
      <c r="H40" s="3" t="s">
        <v>151</v>
      </c>
      <c r="I40" s="3"/>
      <c r="J40" s="3" t="s">
        <v>152</v>
      </c>
      <c r="K40" s="3">
        <f t="shared" si="2"/>
        <v>93</v>
      </c>
      <c r="L40" s="3"/>
      <c r="M40" s="3" t="str">
        <f t="shared" si="3"/>
        <v/>
      </c>
      <c r="N40" s="3"/>
      <c r="O40" s="3" t="s">
        <v>22</v>
      </c>
      <c r="P40" s="3"/>
      <c r="Q40" s="3"/>
      <c r="R40" s="3"/>
    </row>
    <row r="41" spans="1:18" ht="159" customHeight="1" x14ac:dyDescent="0.2">
      <c r="A41" s="3" t="s">
        <v>29</v>
      </c>
      <c r="B41" s="3" t="s">
        <v>21</v>
      </c>
      <c r="C41" s="3" t="s">
        <v>154</v>
      </c>
      <c r="D41" s="3" t="s">
        <v>273</v>
      </c>
      <c r="E41" s="3" t="s">
        <v>257</v>
      </c>
      <c r="F41" s="3">
        <v>2025</v>
      </c>
      <c r="G41" s="3"/>
      <c r="H41" s="3" t="s">
        <v>151</v>
      </c>
      <c r="I41" s="3"/>
      <c r="J41" s="3" t="s">
        <v>153</v>
      </c>
      <c r="K41" s="3">
        <f t="shared" si="2"/>
        <v>71</v>
      </c>
      <c r="L41" s="3"/>
      <c r="M41" s="3" t="str">
        <f t="shared" si="3"/>
        <v/>
      </c>
      <c r="N41" s="3"/>
      <c r="O41" s="3" t="s">
        <v>22</v>
      </c>
      <c r="P41" s="3"/>
      <c r="Q41" s="3"/>
      <c r="R41" s="3"/>
    </row>
    <row r="42" spans="1:18" ht="216" customHeight="1" x14ac:dyDescent="0.2">
      <c r="A42" s="3" t="s">
        <v>30</v>
      </c>
      <c r="B42" s="3" t="s">
        <v>21</v>
      </c>
      <c r="C42" s="3" t="s">
        <v>158</v>
      </c>
      <c r="D42" s="3" t="s">
        <v>158</v>
      </c>
      <c r="E42" s="3" t="s">
        <v>268</v>
      </c>
      <c r="F42" s="3">
        <v>2024</v>
      </c>
      <c r="G42" s="3"/>
      <c r="H42" s="3" t="s">
        <v>159</v>
      </c>
      <c r="I42" s="3"/>
      <c r="J42" s="3" t="s">
        <v>160</v>
      </c>
      <c r="K42" s="3">
        <f t="shared" si="2"/>
        <v>253</v>
      </c>
      <c r="L42" s="3"/>
      <c r="M42" s="3" t="str">
        <f t="shared" si="3"/>
        <v/>
      </c>
      <c r="N42" s="3"/>
      <c r="O42" s="3" t="s">
        <v>22</v>
      </c>
      <c r="P42" s="3"/>
      <c r="Q42" s="3"/>
      <c r="R42" s="3"/>
    </row>
    <row r="43" spans="1:18" ht="216" customHeight="1" x14ac:dyDescent="0.2">
      <c r="A43" s="3" t="s">
        <v>31</v>
      </c>
      <c r="B43" s="3" t="s">
        <v>21</v>
      </c>
      <c r="C43" s="3" t="s">
        <v>162</v>
      </c>
      <c r="D43" s="3" t="s">
        <v>274</v>
      </c>
      <c r="E43" s="3" t="s">
        <v>268</v>
      </c>
      <c r="F43" s="3">
        <v>2024</v>
      </c>
      <c r="G43" s="3"/>
      <c r="H43" s="3" t="s">
        <v>165</v>
      </c>
      <c r="I43" s="3"/>
      <c r="J43" s="3" t="s">
        <v>164</v>
      </c>
      <c r="K43" s="3">
        <f t="shared" si="2"/>
        <v>173</v>
      </c>
      <c r="L43" s="3"/>
      <c r="M43" s="3" t="str">
        <f t="shared" si="3"/>
        <v/>
      </c>
      <c r="N43" s="3"/>
      <c r="O43" s="3" t="s">
        <v>22</v>
      </c>
      <c r="P43" s="3"/>
      <c r="Q43" s="3"/>
      <c r="R43" s="3"/>
    </row>
    <row r="44" spans="1:18" ht="131" customHeight="1" x14ac:dyDescent="0.2">
      <c r="A44" s="3" t="s">
        <v>32</v>
      </c>
      <c r="B44" s="3" t="s">
        <v>21</v>
      </c>
      <c r="C44" s="3" t="s">
        <v>166</v>
      </c>
      <c r="D44" s="3" t="s">
        <v>275</v>
      </c>
      <c r="E44" s="3" t="s">
        <v>268</v>
      </c>
      <c r="F44" s="3">
        <v>2024</v>
      </c>
      <c r="G44" s="10">
        <v>45701</v>
      </c>
      <c r="H44" s="3" t="s">
        <v>168</v>
      </c>
      <c r="I44" s="3"/>
      <c r="J44" s="3" t="s">
        <v>169</v>
      </c>
      <c r="K44" s="3">
        <f t="shared" si="2"/>
        <v>76</v>
      </c>
      <c r="L44" s="3"/>
      <c r="M44" s="3" t="str">
        <f t="shared" si="3"/>
        <v/>
      </c>
      <c r="N44" s="3"/>
      <c r="O44" s="3" t="s">
        <v>22</v>
      </c>
      <c r="P44" s="3"/>
      <c r="Q44" s="3"/>
      <c r="R44" s="3"/>
    </row>
    <row r="45" spans="1:18" ht="164" customHeight="1" x14ac:dyDescent="0.2">
      <c r="A45" s="3" t="s">
        <v>33</v>
      </c>
      <c r="B45" s="3" t="s">
        <v>21</v>
      </c>
      <c r="C45" s="3" t="s">
        <v>171</v>
      </c>
      <c r="D45" s="3" t="s">
        <v>172</v>
      </c>
      <c r="E45" s="3"/>
      <c r="F45" s="3">
        <v>2023</v>
      </c>
      <c r="G45" s="3"/>
      <c r="H45" s="3" t="s">
        <v>175</v>
      </c>
      <c r="I45" s="3"/>
      <c r="J45" s="3" t="s">
        <v>176</v>
      </c>
      <c r="K45" s="3">
        <f t="shared" si="2"/>
        <v>115</v>
      </c>
      <c r="L45" s="3"/>
      <c r="M45" s="3" t="str">
        <f t="shared" si="3"/>
        <v/>
      </c>
      <c r="N45" s="3"/>
      <c r="O45" s="3" t="s">
        <v>22</v>
      </c>
      <c r="P45" s="3"/>
      <c r="Q45" s="3"/>
      <c r="R45" s="3"/>
    </row>
    <row r="46" spans="1:18" ht="161" customHeight="1" x14ac:dyDescent="0.2">
      <c r="A46" s="3" t="s">
        <v>34</v>
      </c>
      <c r="B46" s="3" t="s">
        <v>21</v>
      </c>
      <c r="C46" s="3" t="s">
        <v>177</v>
      </c>
      <c r="D46" s="3" t="s">
        <v>178</v>
      </c>
      <c r="E46" s="3" t="s">
        <v>268</v>
      </c>
      <c r="F46" s="3">
        <v>2024</v>
      </c>
      <c r="G46" s="10">
        <v>45730</v>
      </c>
      <c r="H46" s="3" t="s">
        <v>179</v>
      </c>
      <c r="I46" s="3"/>
      <c r="J46" s="3" t="s">
        <v>181</v>
      </c>
      <c r="K46" s="3">
        <f t="shared" si="2"/>
        <v>221</v>
      </c>
      <c r="L46" s="3"/>
      <c r="M46" s="3" t="str">
        <f t="shared" si="3"/>
        <v/>
      </c>
      <c r="N46" s="3"/>
      <c r="O46" s="3" t="s">
        <v>22</v>
      </c>
      <c r="P46" s="3"/>
      <c r="Q46" s="3"/>
      <c r="R46" s="3"/>
    </row>
    <row r="47" spans="1:18" ht="135" customHeight="1" x14ac:dyDescent="0.2">
      <c r="A47" s="3" t="s">
        <v>35</v>
      </c>
      <c r="B47" s="3" t="s">
        <v>21</v>
      </c>
      <c r="C47" s="3" t="s">
        <v>182</v>
      </c>
      <c r="D47" s="3" t="s">
        <v>183</v>
      </c>
      <c r="E47" s="3" t="s">
        <v>184</v>
      </c>
      <c r="F47" s="3">
        <v>2025</v>
      </c>
      <c r="G47" s="3"/>
      <c r="H47" s="3" t="s">
        <v>185</v>
      </c>
      <c r="I47" s="3"/>
      <c r="J47" s="3" t="s">
        <v>285</v>
      </c>
      <c r="K47" s="3">
        <f t="shared" si="2"/>
        <v>94</v>
      </c>
      <c r="L47" s="3"/>
      <c r="M47" s="3" t="str">
        <f t="shared" si="3"/>
        <v/>
      </c>
      <c r="N47" s="3"/>
      <c r="O47" s="3" t="s">
        <v>22</v>
      </c>
      <c r="P47" s="3"/>
      <c r="Q47" s="3"/>
      <c r="R47" s="3"/>
    </row>
    <row r="48" spans="1:18" ht="204" customHeight="1" x14ac:dyDescent="0.2">
      <c r="A48" s="3" t="s">
        <v>36</v>
      </c>
      <c r="B48" s="3" t="s">
        <v>21</v>
      </c>
      <c r="C48" s="3" t="s">
        <v>187</v>
      </c>
      <c r="D48" s="3" t="s">
        <v>188</v>
      </c>
      <c r="E48" s="3" t="s">
        <v>184</v>
      </c>
      <c r="F48" s="3">
        <v>2024</v>
      </c>
      <c r="G48" s="10">
        <v>45707</v>
      </c>
      <c r="H48" s="3" t="s">
        <v>189</v>
      </c>
      <c r="I48" s="3"/>
      <c r="J48" s="3" t="s">
        <v>191</v>
      </c>
      <c r="K48" s="3">
        <f t="shared" si="2"/>
        <v>160</v>
      </c>
      <c r="L48" s="3"/>
      <c r="M48" s="3" t="str">
        <f t="shared" si="3"/>
        <v/>
      </c>
      <c r="N48" s="3"/>
      <c r="O48" s="3" t="s">
        <v>22</v>
      </c>
      <c r="P48" s="3"/>
      <c r="Q48" s="3"/>
      <c r="R48" s="3"/>
    </row>
    <row r="49" spans="1:18" ht="205" customHeight="1" x14ac:dyDescent="0.2">
      <c r="A49" s="3" t="s">
        <v>37</v>
      </c>
      <c r="B49" s="3" t="s">
        <v>21</v>
      </c>
      <c r="C49" s="3" t="s">
        <v>192</v>
      </c>
      <c r="D49" s="3" t="s">
        <v>193</v>
      </c>
      <c r="E49" s="3" t="s">
        <v>184</v>
      </c>
      <c r="F49" s="3">
        <v>2023</v>
      </c>
      <c r="G49" s="3"/>
      <c r="H49" s="3" t="s">
        <v>136</v>
      </c>
      <c r="I49" s="3"/>
      <c r="J49" s="3" t="s">
        <v>283</v>
      </c>
      <c r="K49" s="3">
        <f t="shared" si="2"/>
        <v>82</v>
      </c>
      <c r="L49" s="3"/>
      <c r="M49" s="3" t="str">
        <f t="shared" si="3"/>
        <v/>
      </c>
      <c r="N49" s="3"/>
      <c r="O49" s="3" t="s">
        <v>22</v>
      </c>
      <c r="P49" s="3"/>
      <c r="Q49" s="3"/>
      <c r="R49" s="3"/>
    </row>
    <row r="50" spans="1:18" ht="234" customHeight="1" x14ac:dyDescent="0.2">
      <c r="A50" s="3" t="s">
        <v>38</v>
      </c>
      <c r="B50" s="3" t="s">
        <v>21</v>
      </c>
      <c r="C50" s="3" t="s">
        <v>196</v>
      </c>
      <c r="D50" s="3" t="s">
        <v>197</v>
      </c>
      <c r="E50" s="3" t="s">
        <v>198</v>
      </c>
      <c r="F50" s="3">
        <v>2024</v>
      </c>
      <c r="G50" s="3"/>
      <c r="H50" s="3" t="s">
        <v>200</v>
      </c>
      <c r="I50" s="3"/>
      <c r="J50" s="3" t="s">
        <v>201</v>
      </c>
      <c r="K50" s="3">
        <f t="shared" si="2"/>
        <v>132</v>
      </c>
      <c r="L50" s="3"/>
      <c r="M50" s="3" t="str">
        <f t="shared" si="3"/>
        <v/>
      </c>
      <c r="N50" s="3"/>
      <c r="O50" s="3" t="s">
        <v>22</v>
      </c>
      <c r="P50" s="3"/>
      <c r="Q50" s="3"/>
      <c r="R50" s="3"/>
    </row>
    <row r="51" spans="1:18" ht="277" customHeight="1" x14ac:dyDescent="0.2">
      <c r="A51" s="3" t="s">
        <v>39</v>
      </c>
      <c r="B51" s="3" t="s">
        <v>21</v>
      </c>
      <c r="C51" s="3" t="s">
        <v>202</v>
      </c>
      <c r="D51" s="3" t="s">
        <v>203</v>
      </c>
      <c r="E51" s="3" t="s">
        <v>198</v>
      </c>
      <c r="F51" s="3">
        <v>2024</v>
      </c>
      <c r="G51" s="3"/>
      <c r="H51" s="3" t="s">
        <v>205</v>
      </c>
      <c r="I51" s="3"/>
      <c r="J51" s="3" t="s">
        <v>282</v>
      </c>
      <c r="K51" s="3">
        <f t="shared" si="2"/>
        <v>127</v>
      </c>
      <c r="L51" s="3"/>
      <c r="M51" s="3" t="str">
        <f t="shared" si="3"/>
        <v/>
      </c>
      <c r="N51" s="3"/>
      <c r="O51" s="3" t="s">
        <v>22</v>
      </c>
      <c r="P51" s="3"/>
      <c r="Q51" s="3"/>
      <c r="R51" s="3"/>
    </row>
    <row r="52" spans="1:18" ht="126" customHeight="1" x14ac:dyDescent="0.2">
      <c r="A52" s="3" t="s">
        <v>40</v>
      </c>
      <c r="B52" s="3" t="s">
        <v>21</v>
      </c>
      <c r="C52" s="3" t="s">
        <v>207</v>
      </c>
      <c r="D52" s="3" t="s">
        <v>208</v>
      </c>
      <c r="E52" s="3" t="s">
        <v>198</v>
      </c>
      <c r="F52" s="3">
        <v>2023</v>
      </c>
      <c r="G52" s="3"/>
      <c r="H52" s="3" t="s">
        <v>209</v>
      </c>
      <c r="I52" s="3"/>
      <c r="J52" s="3" t="s">
        <v>211</v>
      </c>
      <c r="K52" s="3">
        <f t="shared" si="2"/>
        <v>113</v>
      </c>
      <c r="L52" s="3"/>
      <c r="M52" s="3" t="str">
        <f t="shared" si="3"/>
        <v/>
      </c>
      <c r="N52" s="3"/>
      <c r="O52" s="3" t="s">
        <v>22</v>
      </c>
      <c r="P52" s="3"/>
      <c r="Q52" s="3"/>
      <c r="R52" s="3"/>
    </row>
    <row r="53" spans="1:18" ht="164" customHeight="1" x14ac:dyDescent="0.2">
      <c r="A53" s="3" t="s">
        <v>41</v>
      </c>
      <c r="B53" s="3" t="s">
        <v>21</v>
      </c>
      <c r="C53" s="3" t="s">
        <v>213</v>
      </c>
      <c r="D53" s="3" t="s">
        <v>214</v>
      </c>
      <c r="E53" s="3" t="s">
        <v>257</v>
      </c>
      <c r="F53" s="3">
        <v>2024</v>
      </c>
      <c r="G53" s="3"/>
      <c r="H53" s="3" t="s">
        <v>132</v>
      </c>
      <c r="I53" s="3"/>
      <c r="J53" s="3" t="s">
        <v>216</v>
      </c>
      <c r="K53" s="3">
        <f t="shared" si="2"/>
        <v>170</v>
      </c>
      <c r="L53" s="3"/>
      <c r="M53" s="3" t="str">
        <f t="shared" si="3"/>
        <v/>
      </c>
      <c r="N53" s="3"/>
      <c r="O53" s="3" t="s">
        <v>22</v>
      </c>
      <c r="P53" s="3"/>
      <c r="Q53" s="3"/>
      <c r="R53" s="3"/>
    </row>
    <row r="54" spans="1:18" ht="152" customHeight="1" x14ac:dyDescent="0.2">
      <c r="A54" s="3" t="s">
        <v>42</v>
      </c>
      <c r="B54" s="3" t="s">
        <v>21</v>
      </c>
      <c r="C54" s="3" t="s">
        <v>217</v>
      </c>
      <c r="D54" s="3" t="s">
        <v>218</v>
      </c>
      <c r="E54" s="3" t="s">
        <v>269</v>
      </c>
      <c r="F54" s="3">
        <v>2025</v>
      </c>
      <c r="G54" s="3"/>
      <c r="H54" s="3" t="s">
        <v>221</v>
      </c>
      <c r="I54" s="3"/>
      <c r="J54" s="3" t="s">
        <v>222</v>
      </c>
      <c r="K54" s="3">
        <f t="shared" si="2"/>
        <v>107</v>
      </c>
      <c r="L54" s="3"/>
      <c r="M54" s="3" t="str">
        <f t="shared" si="3"/>
        <v/>
      </c>
      <c r="N54" s="3"/>
      <c r="O54" s="3" t="s">
        <v>22</v>
      </c>
      <c r="P54" s="3"/>
      <c r="Q54" s="3"/>
      <c r="R54" s="3"/>
    </row>
    <row r="55" spans="1:18" ht="121" customHeight="1" x14ac:dyDescent="0.2">
      <c r="A55" s="3" t="s">
        <v>43</v>
      </c>
      <c r="B55" s="3" t="s">
        <v>21</v>
      </c>
      <c r="C55" s="3" t="s">
        <v>223</v>
      </c>
      <c r="D55" s="3" t="s">
        <v>224</v>
      </c>
      <c r="E55" s="3" t="s">
        <v>269</v>
      </c>
      <c r="F55" s="3">
        <v>2025</v>
      </c>
      <c r="G55" s="3"/>
      <c r="H55" s="3" t="s">
        <v>185</v>
      </c>
      <c r="I55" s="3"/>
      <c r="J55" s="3" t="s">
        <v>226</v>
      </c>
      <c r="K55" s="3">
        <f t="shared" si="2"/>
        <v>176</v>
      </c>
      <c r="L55" s="3"/>
      <c r="M55" s="3" t="str">
        <f t="shared" si="3"/>
        <v/>
      </c>
      <c r="N55" s="3"/>
      <c r="O55" s="3" t="s">
        <v>22</v>
      </c>
      <c r="P55" s="3"/>
      <c r="Q55" s="3"/>
      <c r="R55" s="3"/>
    </row>
    <row r="56" spans="1:18" ht="129" customHeight="1" x14ac:dyDescent="0.2">
      <c r="A56" s="3" t="s">
        <v>44</v>
      </c>
      <c r="B56" s="3" t="s">
        <v>21</v>
      </c>
      <c r="C56" s="3" t="s">
        <v>229</v>
      </c>
      <c r="D56" s="3" t="s">
        <v>230</v>
      </c>
      <c r="E56" s="3" t="s">
        <v>129</v>
      </c>
      <c r="F56" s="3">
        <v>2025</v>
      </c>
      <c r="G56" s="3"/>
      <c r="H56" s="3" t="s">
        <v>231</v>
      </c>
      <c r="I56" s="3"/>
      <c r="J56" s="3" t="s">
        <v>228</v>
      </c>
      <c r="K56" s="3">
        <f t="shared" si="2"/>
        <v>207</v>
      </c>
      <c r="L56" s="3"/>
      <c r="M56" s="3" t="str">
        <f t="shared" si="3"/>
        <v/>
      </c>
      <c r="N56" s="3"/>
      <c r="O56" s="3" t="s">
        <v>22</v>
      </c>
      <c r="P56" s="3"/>
      <c r="Q56" s="3"/>
      <c r="R56" s="3"/>
    </row>
    <row r="57" spans="1:18" ht="106" customHeight="1" x14ac:dyDescent="0.2">
      <c r="A57" s="3" t="s">
        <v>45</v>
      </c>
      <c r="B57" s="3" t="s">
        <v>21</v>
      </c>
      <c r="C57" s="3" t="s">
        <v>233</v>
      </c>
      <c r="D57" s="3" t="s">
        <v>234</v>
      </c>
      <c r="E57" s="3" t="s">
        <v>269</v>
      </c>
      <c r="F57" s="3">
        <v>2025</v>
      </c>
      <c r="G57" s="3"/>
      <c r="H57" s="3" t="s">
        <v>156</v>
      </c>
      <c r="I57" s="3"/>
      <c r="J57" s="3" t="s">
        <v>235</v>
      </c>
      <c r="K57" s="3">
        <f t="shared" si="2"/>
        <v>166</v>
      </c>
      <c r="L57" s="3"/>
      <c r="M57" s="3" t="str">
        <f t="shared" si="3"/>
        <v/>
      </c>
      <c r="N57" s="3"/>
      <c r="O57" s="3" t="s">
        <v>22</v>
      </c>
      <c r="P57" s="3"/>
      <c r="Q57" s="3"/>
      <c r="R57" s="3"/>
    </row>
    <row r="58" spans="1:18" ht="109" customHeight="1" x14ac:dyDescent="0.2">
      <c r="A58" s="3" t="s">
        <v>46</v>
      </c>
      <c r="B58" s="3" t="s">
        <v>21</v>
      </c>
      <c r="C58" s="3" t="s">
        <v>238</v>
      </c>
      <c r="D58" s="3" t="s">
        <v>239</v>
      </c>
      <c r="E58" s="3" t="s">
        <v>268</v>
      </c>
      <c r="F58" s="3">
        <v>2025</v>
      </c>
      <c r="G58" s="10">
        <v>46056</v>
      </c>
      <c r="H58" s="3" t="s">
        <v>240</v>
      </c>
      <c r="I58" s="3"/>
      <c r="J58" s="3" t="s">
        <v>241</v>
      </c>
      <c r="K58" s="3">
        <f t="shared" si="2"/>
        <v>84</v>
      </c>
      <c r="L58" s="3"/>
      <c r="M58" s="3" t="str">
        <f t="shared" si="3"/>
        <v/>
      </c>
      <c r="N58" s="3"/>
      <c r="O58" s="3" t="s">
        <v>22</v>
      </c>
      <c r="P58" s="3"/>
      <c r="Q58" s="3"/>
      <c r="R58" s="3"/>
    </row>
    <row r="59" spans="1:18" ht="106" customHeight="1" x14ac:dyDescent="0.2">
      <c r="A59" s="3" t="s">
        <v>47</v>
      </c>
      <c r="B59" s="3" t="s">
        <v>21</v>
      </c>
      <c r="C59" s="3" t="s">
        <v>245</v>
      </c>
      <c r="D59" s="3" t="s">
        <v>246</v>
      </c>
      <c r="E59" s="3" t="s">
        <v>268</v>
      </c>
      <c r="F59" s="3">
        <v>2025</v>
      </c>
      <c r="G59" s="3"/>
      <c r="H59" s="3" t="s">
        <v>247</v>
      </c>
      <c r="I59" s="3"/>
      <c r="J59" s="3" t="s">
        <v>248</v>
      </c>
      <c r="K59" s="3">
        <f t="shared" ref="K59" si="4">IF(J59&lt;&gt;"",LEN(J59)-LEN(SUBSTITUTE(J59," ",""))+1,"")</f>
        <v>103</v>
      </c>
      <c r="L59" s="3"/>
      <c r="M59" s="3" t="str">
        <f t="shared" ref="M59" si="5">IF(L59&lt;&gt;"",LEN(L59)-LEN(SUBSTITUTE(L59," ",""))+1,"")</f>
        <v/>
      </c>
      <c r="N59" s="3"/>
      <c r="O59" s="3" t="s">
        <v>22</v>
      </c>
      <c r="P59" s="3"/>
      <c r="Q59" s="3"/>
      <c r="R59" s="3"/>
    </row>
    <row r="60" spans="1:18" ht="90" customHeight="1" x14ac:dyDescent="0.2">
      <c r="A60" s="3" t="s">
        <v>48</v>
      </c>
      <c r="B60" s="3" t="s">
        <v>21</v>
      </c>
      <c r="C60" s="3" t="s">
        <v>250</v>
      </c>
      <c r="D60" s="3" t="s">
        <v>251</v>
      </c>
      <c r="E60" s="3" t="s">
        <v>198</v>
      </c>
      <c r="F60" s="3">
        <v>2024</v>
      </c>
      <c r="G60" s="3"/>
      <c r="H60" s="3" t="s">
        <v>136</v>
      </c>
      <c r="I60" s="3"/>
      <c r="J60" s="3" t="s">
        <v>252</v>
      </c>
      <c r="K60" s="3">
        <f t="shared" si="2"/>
        <v>194</v>
      </c>
      <c r="L60" s="3"/>
      <c r="M60" s="3" t="str">
        <f t="shared" si="3"/>
        <v/>
      </c>
      <c r="N60" s="3"/>
      <c r="O60" s="3" t="s">
        <v>22</v>
      </c>
      <c r="P60" s="3"/>
      <c r="Q60" s="3"/>
      <c r="R60" s="3"/>
    </row>
    <row r="61" spans="1:18" ht="105" customHeight="1" x14ac:dyDescent="0.2">
      <c r="A61" s="3" t="s">
        <v>49</v>
      </c>
      <c r="B61" s="3" t="s">
        <v>21</v>
      </c>
      <c r="C61" s="3" t="s">
        <v>254</v>
      </c>
      <c r="D61" s="3" t="s">
        <v>255</v>
      </c>
      <c r="E61" s="3" t="s">
        <v>257</v>
      </c>
      <c r="F61" s="3">
        <v>2024</v>
      </c>
      <c r="G61" s="3"/>
      <c r="H61" s="3" t="s">
        <v>189</v>
      </c>
      <c r="I61" s="3"/>
      <c r="J61" s="3" t="s">
        <v>256</v>
      </c>
      <c r="K61" s="3">
        <f t="shared" si="2"/>
        <v>136</v>
      </c>
      <c r="L61" s="3"/>
      <c r="M61" s="3" t="str">
        <f t="shared" si="3"/>
        <v/>
      </c>
      <c r="N61" s="3"/>
      <c r="O61" s="3" t="s">
        <v>22</v>
      </c>
      <c r="P61" s="3"/>
      <c r="Q61" s="3"/>
      <c r="R61" s="3"/>
    </row>
    <row r="62" spans="1:18" ht="92" customHeight="1" x14ac:dyDescent="0.2">
      <c r="A62" s="3" t="s">
        <v>50</v>
      </c>
      <c r="B62" s="3" t="s">
        <v>21</v>
      </c>
      <c r="C62" s="3" t="s">
        <v>259</v>
      </c>
      <c r="D62" s="3" t="s">
        <v>260</v>
      </c>
      <c r="E62" s="3" t="s">
        <v>268</v>
      </c>
      <c r="F62" s="3">
        <v>2025</v>
      </c>
      <c r="G62" s="3"/>
      <c r="H62" s="3" t="s">
        <v>261</v>
      </c>
      <c r="I62" s="3"/>
      <c r="J62" s="3" t="s">
        <v>262</v>
      </c>
      <c r="K62" s="3">
        <f t="shared" si="2"/>
        <v>100</v>
      </c>
      <c r="L62" s="3"/>
      <c r="M62" s="3" t="str">
        <f t="shared" si="3"/>
        <v/>
      </c>
      <c r="N62" s="3"/>
      <c r="O62" s="3" t="s">
        <v>22</v>
      </c>
      <c r="P62" s="3"/>
      <c r="Q62" s="3"/>
      <c r="R62" s="3"/>
    </row>
    <row r="63" spans="1:18" ht="174" customHeight="1" x14ac:dyDescent="0.2">
      <c r="A63" s="3" t="s">
        <v>51</v>
      </c>
      <c r="B63" s="3" t="s">
        <v>21</v>
      </c>
      <c r="C63" s="3" t="s">
        <v>264</v>
      </c>
      <c r="D63" s="3" t="s">
        <v>265</v>
      </c>
      <c r="E63" s="3" t="s">
        <v>129</v>
      </c>
      <c r="F63" s="3">
        <v>2025</v>
      </c>
      <c r="G63" s="3"/>
      <c r="H63" s="3" t="s">
        <v>261</v>
      </c>
      <c r="I63" s="3"/>
      <c r="J63" s="3" t="s">
        <v>267</v>
      </c>
      <c r="K63" s="3">
        <f t="shared" si="2"/>
        <v>107</v>
      </c>
      <c r="L63" s="3"/>
      <c r="M63" s="3" t="str">
        <f t="shared" si="3"/>
        <v/>
      </c>
      <c r="N63" s="3"/>
      <c r="O63" s="3" t="s">
        <v>22</v>
      </c>
      <c r="P63" s="3"/>
      <c r="Q63" s="3"/>
      <c r="R63" s="3"/>
    </row>
  </sheetData>
  <mergeCells count="2">
    <mergeCell ref="A2:R2"/>
    <mergeCell ref="A1:R1"/>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193" zoomScaleNormal="193" workbookViewId="0">
      <selection sqref="A1:F1"/>
    </sheetView>
  </sheetViews>
  <sheetFormatPr baseColWidth="10" defaultColWidth="8.83203125" defaultRowHeight="15" x14ac:dyDescent="0.2"/>
  <cols>
    <col min="1" max="6" width="16" customWidth="1"/>
  </cols>
  <sheetData>
    <row r="1" spans="1:6" ht="28" customHeight="1" x14ac:dyDescent="0.2">
      <c r="A1" s="16" t="s">
        <v>83</v>
      </c>
      <c r="B1" s="13"/>
      <c r="C1" s="13"/>
      <c r="D1" s="13"/>
      <c r="E1" s="13"/>
      <c r="F1" s="13"/>
    </row>
    <row r="2" spans="1:6" x14ac:dyDescent="0.2">
      <c r="A2" s="4" t="s">
        <v>84</v>
      </c>
      <c r="B2" s="4" t="s">
        <v>85</v>
      </c>
      <c r="C2" s="4" t="s">
        <v>86</v>
      </c>
      <c r="D2" s="4" t="s">
        <v>87</v>
      </c>
      <c r="E2" s="4" t="s">
        <v>88</v>
      </c>
      <c r="F2" s="4" t="s">
        <v>89</v>
      </c>
    </row>
    <row r="3" spans="1:6" x14ac:dyDescent="0.2">
      <c r="A3" s="5" t="s">
        <v>90</v>
      </c>
      <c r="B3" s="5">
        <v>30</v>
      </c>
      <c r="C3" s="5">
        <f>COUNTIF(样本记录表!B4:B63,"S0")</f>
        <v>30</v>
      </c>
      <c r="D3" s="6">
        <f>IF(B3&gt;0,C3/B3,0)</f>
        <v>1</v>
      </c>
      <c r="E3" s="5">
        <f>B3-C3</f>
        <v>0</v>
      </c>
      <c r="F3" s="5" t="str">
        <f>IF(E3=0,"✅ 完成",IF(E3&gt;0,"🔄 进行中","⚠️ 超出"))</f>
        <v>✅ 完成</v>
      </c>
    </row>
    <row r="4" spans="1:6" x14ac:dyDescent="0.2">
      <c r="A4" s="5" t="s">
        <v>91</v>
      </c>
      <c r="B4" s="5">
        <v>30</v>
      </c>
      <c r="C4" s="5">
        <f>COUNTIF(样本记录表!B4:B63,"S1")</f>
        <v>30</v>
      </c>
      <c r="D4" s="6">
        <f>IF(B4&gt;0,C4/B4,0)</f>
        <v>1</v>
      </c>
      <c r="E4" s="5">
        <f>B4-C4</f>
        <v>0</v>
      </c>
      <c r="F4" s="5" t="str">
        <f>IF(E4=0,"✅ 完成",IF(E4&gt;0,"🔄 进行中","⚠️ 超出"))</f>
        <v>✅ 完成</v>
      </c>
    </row>
    <row r="5" spans="1:6" x14ac:dyDescent="0.2">
      <c r="A5" s="5" t="s">
        <v>92</v>
      </c>
      <c r="B5" s="5">
        <v>60</v>
      </c>
      <c r="C5" s="5">
        <f>C3+C4</f>
        <v>60</v>
      </c>
      <c r="D5" s="6">
        <f>IF(B5&gt;0,C5/B5,0)</f>
        <v>1</v>
      </c>
      <c r="E5" s="5">
        <f>B5-C5</f>
        <v>0</v>
      </c>
      <c r="F5" s="5" t="str">
        <f>IF(E5=0,"✅ 完成",IF(E5&gt;0,"🔄 进行中","⚠️ 超出"))</f>
        <v>✅ 完成</v>
      </c>
    </row>
    <row r="7" spans="1:6" x14ac:dyDescent="0.2">
      <c r="A7" s="7" t="s">
        <v>93</v>
      </c>
    </row>
    <row r="8" spans="1:6" x14ac:dyDescent="0.2">
      <c r="A8" s="8" t="s">
        <v>94</v>
      </c>
      <c r="B8" s="8" t="s">
        <v>95</v>
      </c>
      <c r="C8" s="15" t="s">
        <v>96</v>
      </c>
      <c r="D8" s="13"/>
      <c r="E8" s="13"/>
      <c r="F8" s="13"/>
    </row>
    <row r="9" spans="1:6" x14ac:dyDescent="0.2">
      <c r="A9" s="8" t="s">
        <v>97</v>
      </c>
      <c r="B9" s="8" t="s">
        <v>95</v>
      </c>
      <c r="C9" s="15" t="s">
        <v>98</v>
      </c>
      <c r="D9" s="13"/>
      <c r="E9" s="13"/>
      <c r="F9" s="13"/>
    </row>
    <row r="10" spans="1:6" x14ac:dyDescent="0.2">
      <c r="A10" s="8" t="s">
        <v>99</v>
      </c>
      <c r="B10" s="8" t="s">
        <v>95</v>
      </c>
      <c r="C10" s="15" t="s">
        <v>100</v>
      </c>
      <c r="D10" s="13"/>
      <c r="E10" s="13"/>
      <c r="F10" s="13"/>
    </row>
    <row r="11" spans="1:6" x14ac:dyDescent="0.2">
      <c r="A11" s="8" t="s">
        <v>101</v>
      </c>
      <c r="B11" s="8" t="s">
        <v>95</v>
      </c>
      <c r="C11" s="15" t="s">
        <v>102</v>
      </c>
      <c r="D11" s="13"/>
      <c r="E11" s="13"/>
      <c r="F11" s="13"/>
    </row>
    <row r="12" spans="1:6" x14ac:dyDescent="0.2">
      <c r="A12" s="8" t="s">
        <v>103</v>
      </c>
      <c r="B12" s="8" t="s">
        <v>95</v>
      </c>
      <c r="C12" s="15" t="s">
        <v>104</v>
      </c>
      <c r="D12" s="13"/>
      <c r="E12" s="13"/>
      <c r="F12" s="13"/>
    </row>
    <row r="13" spans="1:6" x14ac:dyDescent="0.2">
      <c r="A13" s="8" t="s">
        <v>105</v>
      </c>
      <c r="B13" s="8" t="s">
        <v>95</v>
      </c>
      <c r="C13" s="15" t="s">
        <v>106</v>
      </c>
      <c r="D13" s="13"/>
      <c r="E13" s="13"/>
      <c r="F13" s="13"/>
    </row>
  </sheetData>
  <mergeCells count="7">
    <mergeCell ref="C13:F13"/>
    <mergeCell ref="C9:F9"/>
    <mergeCell ref="C8:F8"/>
    <mergeCell ref="A1:F1"/>
    <mergeCell ref="C12:F12"/>
    <mergeCell ref="C11:F11"/>
    <mergeCell ref="C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topLeftCell="A4" zoomScale="228" zoomScaleNormal="228" workbookViewId="0">
      <selection sqref="A1:C1"/>
    </sheetView>
  </sheetViews>
  <sheetFormatPr baseColWidth="10" defaultColWidth="8.83203125" defaultRowHeight="15" x14ac:dyDescent="0.2"/>
  <cols>
    <col min="1" max="1" width="5" customWidth="1"/>
    <col min="2" max="2" width="55" customWidth="1"/>
    <col min="3" max="3" width="15" customWidth="1"/>
  </cols>
  <sheetData>
    <row r="1" spans="1:3" ht="26" customHeight="1" x14ac:dyDescent="0.2">
      <c r="A1" s="20" t="s">
        <v>107</v>
      </c>
      <c r="B1" s="13"/>
      <c r="C1" s="13"/>
    </row>
    <row r="2" spans="1:3" x14ac:dyDescent="0.2">
      <c r="A2" s="17" t="s">
        <v>108</v>
      </c>
      <c r="B2" s="13"/>
      <c r="C2" s="13"/>
    </row>
    <row r="3" spans="1:3" ht="20" customHeight="1" x14ac:dyDescent="0.2">
      <c r="A3" s="9" t="s">
        <v>109</v>
      </c>
      <c r="B3" s="18" t="s">
        <v>110</v>
      </c>
      <c r="C3" s="19"/>
    </row>
    <row r="4" spans="1:3" ht="20" customHeight="1" x14ac:dyDescent="0.2">
      <c r="A4" s="9" t="s">
        <v>109</v>
      </c>
      <c r="B4" s="18" t="s">
        <v>111</v>
      </c>
      <c r="C4" s="19"/>
    </row>
    <row r="5" spans="1:3" ht="20" customHeight="1" x14ac:dyDescent="0.2">
      <c r="A5" s="9" t="s">
        <v>109</v>
      </c>
      <c r="B5" s="18" t="s">
        <v>112</v>
      </c>
      <c r="C5" s="19"/>
    </row>
    <row r="6" spans="1:3" ht="20" customHeight="1" x14ac:dyDescent="0.2">
      <c r="A6" s="9" t="s">
        <v>109</v>
      </c>
      <c r="B6" s="18" t="s">
        <v>113</v>
      </c>
      <c r="C6" s="19"/>
    </row>
    <row r="7" spans="1:3" ht="20" customHeight="1" x14ac:dyDescent="0.2">
      <c r="A7" s="9" t="s">
        <v>109</v>
      </c>
      <c r="B7" s="18" t="s">
        <v>114</v>
      </c>
      <c r="C7" s="19"/>
    </row>
    <row r="8" spans="1:3" ht="20" customHeight="1" x14ac:dyDescent="0.2">
      <c r="A8" s="9" t="s">
        <v>109</v>
      </c>
      <c r="B8" s="18" t="s">
        <v>115</v>
      </c>
      <c r="C8" s="19"/>
    </row>
    <row r="10" spans="1:3" x14ac:dyDescent="0.2">
      <c r="A10" s="17" t="s">
        <v>116</v>
      </c>
      <c r="B10" s="13"/>
      <c r="C10" s="13"/>
    </row>
    <row r="11" spans="1:3" ht="20" customHeight="1" x14ac:dyDescent="0.2">
      <c r="A11" s="9" t="s">
        <v>109</v>
      </c>
      <c r="B11" s="18" t="s">
        <v>117</v>
      </c>
      <c r="C11" s="19"/>
    </row>
    <row r="12" spans="1:3" ht="20" customHeight="1" x14ac:dyDescent="0.2">
      <c r="A12" s="9" t="s">
        <v>109</v>
      </c>
      <c r="B12" s="18" t="s">
        <v>118</v>
      </c>
      <c r="C12" s="19"/>
    </row>
    <row r="13" spans="1:3" ht="20" customHeight="1" x14ac:dyDescent="0.2">
      <c r="A13" s="9" t="s">
        <v>109</v>
      </c>
      <c r="B13" s="18" t="s">
        <v>119</v>
      </c>
      <c r="C13" s="19"/>
    </row>
    <row r="14" spans="1:3" ht="20" customHeight="1" x14ac:dyDescent="0.2">
      <c r="A14" s="9" t="s">
        <v>109</v>
      </c>
      <c r="B14" s="18" t="s">
        <v>120</v>
      </c>
      <c r="C14" s="19"/>
    </row>
    <row r="16" spans="1:3" x14ac:dyDescent="0.2">
      <c r="A16" s="17" t="s">
        <v>121</v>
      </c>
      <c r="B16" s="13"/>
      <c r="C16" s="13"/>
    </row>
    <row r="17" spans="1:3" ht="20" customHeight="1" x14ac:dyDescent="0.2">
      <c r="A17" s="9" t="s">
        <v>109</v>
      </c>
      <c r="B17" s="18" t="s">
        <v>122</v>
      </c>
      <c r="C17" s="19"/>
    </row>
    <row r="18" spans="1:3" ht="20" customHeight="1" x14ac:dyDescent="0.2">
      <c r="A18" s="9" t="s">
        <v>109</v>
      </c>
      <c r="B18" s="18" t="s">
        <v>123</v>
      </c>
      <c r="C18" s="19"/>
    </row>
    <row r="19" spans="1:3" ht="20" customHeight="1" x14ac:dyDescent="0.2">
      <c r="A19" s="9" t="s">
        <v>109</v>
      </c>
      <c r="B19" s="18" t="s">
        <v>124</v>
      </c>
      <c r="C19" s="19"/>
    </row>
    <row r="20" spans="1:3" ht="20" customHeight="1" x14ac:dyDescent="0.2">
      <c r="A20" s="9" t="s">
        <v>109</v>
      </c>
      <c r="B20" s="18" t="s">
        <v>125</v>
      </c>
      <c r="C20" s="19"/>
    </row>
  </sheetData>
  <mergeCells count="18">
    <mergeCell ref="A10:C10"/>
    <mergeCell ref="B13:C13"/>
    <mergeCell ref="B6:C6"/>
    <mergeCell ref="B7:C7"/>
    <mergeCell ref="A1:C1"/>
    <mergeCell ref="B11:C11"/>
    <mergeCell ref="B3:C3"/>
    <mergeCell ref="B5:C5"/>
    <mergeCell ref="B8:C8"/>
    <mergeCell ref="B4:C4"/>
    <mergeCell ref="A2:C2"/>
    <mergeCell ref="B12:C12"/>
    <mergeCell ref="A16:C16"/>
    <mergeCell ref="B19:C19"/>
    <mergeCell ref="B20:C20"/>
    <mergeCell ref="B14:C14"/>
    <mergeCell ref="B17:C17"/>
    <mergeCell ref="B18:C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样本记录表</vt:lpstr>
      <vt:lpstr>进度看板</vt:lpstr>
      <vt:lpstr>自检清单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Yiqixue Spring</cp:lastModifiedBy>
  <dcterms:created xsi:type="dcterms:W3CDTF">2026-06-16T00:32:26Z</dcterms:created>
  <dcterms:modified xsi:type="dcterms:W3CDTF">2026-06-17T03:48:29Z</dcterms:modified>
</cp:coreProperties>
</file>